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460" yWindow="1260" windowWidth="25600" windowHeight="16060" tabRatio="500"/>
  </bookViews>
  <sheets>
    <sheet name="GWAS results 2016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1" i="1" l="1"/>
  <c r="B185" i="1"/>
  <c r="B172" i="1"/>
  <c r="B164" i="1"/>
  <c r="B153" i="1"/>
  <c r="B141" i="1"/>
  <c r="B125" i="1"/>
  <c r="B109" i="1"/>
  <c r="B96" i="1"/>
  <c r="B86" i="1"/>
  <c r="B73" i="1"/>
  <c r="B57" i="1"/>
  <c r="B50" i="1"/>
  <c r="B34" i="1"/>
  <c r="B16" i="1"/>
  <c r="B3" i="1"/>
</calcChain>
</file>

<file path=xl/sharedStrings.xml><?xml version="1.0" encoding="utf-8"?>
<sst xmlns="http://schemas.openxmlformats.org/spreadsheetml/2006/main" count="602" uniqueCount="322">
  <si>
    <t>SNP</t>
  </si>
  <si>
    <t>P-value</t>
  </si>
  <si>
    <t>Chr</t>
  </si>
  <si>
    <t>Candidate genes</t>
  </si>
  <si>
    <t>MD17G1216000</t>
  </si>
  <si>
    <t>Chr17:26295033..26299439</t>
  </si>
  <si>
    <t>AT4G02580.1 | Symbols:  | NADH-ubiquinone oxidoreductase 24 kDa subunit, putative | chr4:1134586-1136906 FORWARD LENGTH=255. NADH dehydrogenase [ubiquinone] flavoprotein 2, mitochondrial OS=Arabidopsis thaliana GN=At4g02580 PE=1 SV=3. PREDICTED: NADH dehydrogenase [ubiquinone] flavoprotein 2, mitochondrial-like [Malus domestica]. tr|M5XCX3|M5XCX3_PRUPE Uncharacterized protein OS=Prunus persica GN=PRUPE_ppa009098mg PE=4 SV=1</t>
  </si>
  <si>
    <t>MD17G1216300</t>
  </si>
  <si>
    <t>Chr17:26308462..26311331</t>
  </si>
  <si>
    <t>AT5G51280.1 | Symbols:  | DEAD-box protein abstrakt, putative | chr5:20841456-20843645 FORWARD LENGTH=591. DEAD-box ATP-dependent RNA helicase 35 OS=Arabidopsis thaliana GN=RH35 PE=2 SV=1. PREDICTED: DEAD-box ATP-dependent RNA helicase 35-like [Malus domestica]. tr|M5WR00|M5WR00_PRUPE Uncharacterized protein OS=Prunus persica GN=PRUPE_ppa003295mg PE=4 SV=1</t>
  </si>
  <si>
    <t>MD17G1215700</t>
  </si>
  <si>
    <t>Chr17:26277687..26283914</t>
  </si>
  <si>
    <t>MD17G1216100</t>
  </si>
  <si>
    <t>Chr17:26300862..26306576</t>
  </si>
  <si>
    <t>MD17G1215800</t>
  </si>
  <si>
    <t>Chr17:26286677..26289462</t>
  </si>
  <si>
    <t>Arogenate dehydrogenase 2, chloroplastic OS=Arabidopsis thaliana GN=TYRAAT2 PE=1 SV=1. AT1G15710.1 | Symbols:  | prephenate dehydrogenase family protein | chr1:5404505-5405581 FORWARD LENGTH=358. PREDICTED: arogenate dehydrogenase 2, chloroplastic-like [Malus domestica]. tr|M5WS90|M5WS90_PRUPE Uncharacterized protein OS=Prunus persica GN=PRUPE_ppa006640mg PE=4 SV=1</t>
  </si>
  <si>
    <t>MD17G1216400</t>
  </si>
  <si>
    <t>Chr17:26327310..26328070</t>
  </si>
  <si>
    <t>MD17G1216200</t>
  </si>
  <si>
    <t>Chr17:26307229..26308277</t>
  </si>
  <si>
    <t>PREDICTED: uncharacterized protein LOC103436076 [Malus domestica]. tr|M5WVE8|M5WVE8_PRUPE Uncharacterized protein (Fragment) OS=Prunus persica GN=PRUPE_ppa014765mg PE=4 SV=1</t>
  </si>
  <si>
    <t>MD17G1215900</t>
  </si>
  <si>
    <t>Chr17:26289971..26294675</t>
  </si>
  <si>
    <t>AT4G02580.1 | Symbols:  | NADH-ubiquinone oxidoreductase 24 kDa subunit, putative | chr4:1134586-1136906 FORWARD LENGTH=255. NADH dehydrogenase [ubiquinone] flavoprotein 2, mitochondrial OS=Arabidopsis thaliana GN=At4g02580 PE=1 SV=3. PREDICTED: NADH dehydrogenase [ubiquinone] flavoprotein 2, mitochondrial [Malus domestica] &amp;gt;gi|694421315|ref|XP_009338514.1| PREDICTED: NADH dehydrogenase [ubiquinone] flavoprotein 2, mitochondrial-like [Pyrus x bretschneideri]. tr|M5XCX3|M5XCX3_PRUPE Uncharacterized protein OS=Prunus persica GN=PRUPE_ppa009098mg PE=4 SV=1</t>
  </si>
  <si>
    <t>AT3G18430.2 | Symbols:  | Calcium-binding EF-hand family protein | chr3:6326180-6327476 FORWARD LENGTH=175. Calcineurin subunit B OS=Naegleria gruberi GN=CNB1 PE=3 SV=1. PREDICTED: calcineurin subunit B-like isoform X2 [Malus domestica]. tr|M5XBK9|M5XBK9_PRUPE Uncharacterized protein OS=Prunus persica GN=PRUPE_ppa012291mg PE=4 SV=1</t>
  </si>
  <si>
    <t>MD17G1215600</t>
  </si>
  <si>
    <t>Chr17:26258132..26261966</t>
  </si>
  <si>
    <t>MD17G1216500</t>
  </si>
  <si>
    <t>Chr17:26328328..26329050</t>
  </si>
  <si>
    <t>PREDICTED: phosphopantothenoylcysteine decarboxylase subunit VHS3-like [Pyrus x bretschneideri] &amp;gt;gi|694416419|ref|XP_009336335.1| PREDICTED: phosphopantothenoylcysteine decarboxylase subunit VHS3-like [Pyrus x bretschneideri]</t>
  </si>
  <si>
    <t>MD17G1216600</t>
  </si>
  <si>
    <t>Chr17:26329973..26338909</t>
  </si>
  <si>
    <t>MD17G1215500</t>
  </si>
  <si>
    <t>Chr17:26252398..26252997</t>
  </si>
  <si>
    <t>AT1G80460.1 | Symbols: NHO1, GLI1 | Actin-like ATPase superfamily protein | chr1:30246960-30249055 REVERSE LENGTH=522. Glycerol kinase OS=Arabidopsis thaliana GN=GLPK PE=1 SV=1. PREDICTED: glycerol kinase [Malus domestica]. tr|M5WT62|M5WT62_PRUPE Uncharacterized protein OS=Prunus persica GN=PRUPE_ppa004097mg PE=4 SV=1</t>
  </si>
  <si>
    <t>AT1G15690.1 | Symbols: AVP1, ATAVP3, AVP-3, AtVHP1;1 | Inorganic H pyrophosphatase family protein | chr1:5399115-5402185 FORWARD LENGTH=770. PREDICTED: pyrophosphate-energized vacuolar membrane proton pump-like [Malus domestica]. Pyrophosphate-energized vacuolar membrane proton pump OS=Vigna radiata var. radiata PE=1 SV=4. tr|Q8GT22|Q8GT22_PYRCO Vacuolar proton-inorganic pyrophosphatase OS=Pyrus communis GN=PVP3 PE=2 SV=1</t>
  </si>
  <si>
    <t>AT1G80450.1 | Symbols:  | VQ motif-containing protein | chr1:30244155-30244688 REVERSE LENGTH=177. PREDICTED: VQ motif-containing protein 11 [Malus domestica]. tr|M5WR14|M5WR14_PRUPE Uncharacterized protein OS=Prunus persica GN=PRUPE_ppa012011mg PE=4 SV=1. VQ motif-containing protein 11 OS=Arabidopsis thaliana GN=VQ11 PE=1 SV=1</t>
  </si>
  <si>
    <t>AT2G20900.4 | Symbols: DGK5, ATDGK5 | diacylglycerol kinase 5 | chr2:8989412-8992798 REVERSE LENGTH=509. Diacylglycerol kinase 5 OS=Arabidopsis thaliana GN=DGK5 PE=2 SV=1. PREDICTED: uncharacterized protein LOC103428056 isoform X1 [Malus domestica]. tr|Q154M5|Q154M5_MALDO Putative NBS-LRR disease resistance protein (Fragment) OS=Malus domestica PE=4 SV=1</t>
  </si>
  <si>
    <t>AT2G11890.1 | Symbols:  | adenylate cyclases | chr2:4802999-4803631 FORWARD LENGTH=210. PREDICTED: triphosphate tunel metalloenzyme 3-like [Malus domestica]. Triphosphate tunel metalloenzyme 3 OS=Arabidopsis thaliana GN=TTM3 PE=1 SV=1. tr|M5WU13|M5WU13_PRUPE Uncharacterized protein OS=Prunus persica GN=PRUPE_ppa011590mg PE=4 SV=1</t>
  </si>
  <si>
    <t>MD05G1322300</t>
  </si>
  <si>
    <t>Chr05:44966233..44969515</t>
  </si>
  <si>
    <t>AT1G61150.1 | Symbols:  | LisH and RanBPM domains containing protein | chr1:22542928-22544355 FORWARD LENGTH=243. Glucose-induced degradation protein 8 homolog OS=Dictyostelium discoideum GN=DDB_G0279265 PE=3 SV=2. PREDICTED: glucose-induced degradation protein 8 homolog isoform X2 [Pyrus x bretschneideri]. tr|A0A067GKH3|A0A067GKH3_CITSI Uncharacterized protein OS=Citrus sinensis GN=CISIN_1g026151mg PE=4 SV=1</t>
  </si>
  <si>
    <t>MD05G1322000</t>
  </si>
  <si>
    <t>Chr05:44937689..44941780</t>
  </si>
  <si>
    <t>AT1G11080.2 | Symbols: scpl31 | serine carboxypeptidase-like 31 | chr1:3694809-3697759 REVERSE LENGTH=495. PREDICTED: serine carboxypeptidase-like 31 [Malus domestica]. Serine carboxypeptidase-like 31 OS=Arabidopsis thaliana GN=SCPL31 PE=2 SV=2. tr|M5WHT5|M5WHT5_PRUPE Carboxypeptidase OS=Prunus persica GN=PRUPE_ppa005035mg PE=3 SV=1</t>
  </si>
  <si>
    <t>MD05G1321800</t>
  </si>
  <si>
    <t>Chr05:44931475..44932720</t>
  </si>
  <si>
    <t>AT1G61110.1 | Symbols: anac025, NAC025 | NAC domain containing protein 25 | chr1:22516730-22518055 FORWARD LENGTH=323. NAC transcription factor 25-like [Malus domestica] &amp;gt;gi|302399021|gb|ADL36805.1| NAC domain class transcription factor [Malus domestica]. NAC transcription factor 25 OS=Arabidopsis thaliana GN=NAC025 PE=2 SV=1. tr|D9ZJA2|D9ZJA2_MALDO NAC domain class transcription factor OS=Malus domestica GN=NAC3 PE=2 SV=1</t>
  </si>
  <si>
    <t>MD05G1322400</t>
  </si>
  <si>
    <t>Chr05:44969761..44970066</t>
  </si>
  <si>
    <t>hypothetical protein PRUPE_4G040400 [Prunus persica] &amp;gt;gi|1139776130|gb|ONI10317.1| hypothetical protein PRUPE_4G040400 [Prunus persica]. tr|M5WKE2|M5WKE2_PRUPE Uncharacterized protein OS=Prunus persica GN=PRUPE_ppa015232mg PE=4 SV=1</t>
  </si>
  <si>
    <t>MD05G1321600</t>
  </si>
  <si>
    <t>Chr05:44914120..44917254</t>
  </si>
  <si>
    <t>MD05G1322200</t>
  </si>
  <si>
    <t>Chr05:44953958..44962448</t>
  </si>
  <si>
    <t>MD05G1322100</t>
  </si>
  <si>
    <t>Chr05:44952957..44953682</t>
  </si>
  <si>
    <t>MD05G1321700</t>
  </si>
  <si>
    <t>Chr05:44925220..44928225</t>
  </si>
  <si>
    <t>Alpha-galactosidase 2 OS=Arabidopsis thaliana GN=AGAL2 PE=1 SV=1. AT5G08370.1 | Symbols: AtAGAL2, AGAL2 | alpha-galactosidase 2 | chr5:2691116-2693441 REVERSE LENGTH=396. PREDICTED: alpha-galactosidase [Malus domestica] &amp;gt;gi|658040780|ref|XP_008355997.1| PREDICTED: alpha-galactosidase-like isoform X3 [Malus domestica]. tr|M5WH74|M5WH74_PRUPE Alpha-galactosidase OS=Prunus persica GN=PRUPE_ppa007136mg PE=3 SV=1</t>
  </si>
  <si>
    <t>Alpha-galactosidase 2 OS=Arabidopsis thaliana GN=AGAL2 PE=1 SV=1. AT5G08370.2 | Symbols: AtAGAL2, AGAL2 | alpha-galactosidase 2 | chr5:2691116-2693441 REVERSE LENGTH=370. PREDICTED: alpha-galactosidase-like isoform X2 [Pyrus x bretschneideri]. tr|M5WH74|M5WH74_PRUPE Alpha-galactosidase OS=Prunus persica GN=PRUPE_ppa007136mg PE=3 SV=1</t>
  </si>
  <si>
    <t>MD05G1321900</t>
  </si>
  <si>
    <t>Chr05:44932722..44933541</t>
  </si>
  <si>
    <t>NAC transcription factor 25-like [Malus domestica] &amp;gt;gi|302399021|gb|ADL36805.1| NAC domain class transcription factor [Malus domestica]. tr|D9ZJA2|D9ZJA2_MALDO NAC domain class transcription factor OS=Malus domestica GN=NAC3 PE=2 SV=1</t>
  </si>
  <si>
    <t>AT1G61140.1 | Symbols: EDA16 | SNF2 domain-containing protein / helicase domain-containing protein / zinc finger protein-related | chr1:22535038-22540610 REVERSE LENGTH=1280. Helicase-like transcription factor CHR28 OS=Arabidopsis thaliana GN=CHR28 PE=1 SV=1. PREDICTED: helicase-like transcription factor CHR28 isoform X2 [Malus domestica]. tr|W9T2P6|W9T2P6_9ROSA SMARCA3-like protein 2 OS=Morus notabilis GN=L484_002467 PE=4 SV=1</t>
  </si>
  <si>
    <t>AT1G11090.1 | Symbols:  | alpha/beta-Hydrolases superfamily protein | chr1:3702655-3703629 FORWARD LENGTH=324. Caffeoylshikimate esterase OS=Arabidopsis thaliana GN=CSE PE=1 SV=1. PREDICTED: LOW QUALITY PROTEIN: caffeoylshikimate esterase [Malus domestica]. tr|M5X0Z5|M5X0Z5_PRUPE Uncharacterized protein OS=Prunus persica GN=PRUPE_ppa008252mg PE=4 SV=1</t>
  </si>
  <si>
    <t>MD12G1020500</t>
  </si>
  <si>
    <t>Chr12:2035411..2038156</t>
  </si>
  <si>
    <t>AT3G52910.1 | Symbols: AtGRF4, GRF4 | growth-regulating factor 4 | chr3:19616177-19618268 REVERSE LENGTH=380. GRF domain class transcription factor [Malus domestica]. Growth-regulating factor 4 OS=Arabidopsis thaliana GN=GRF4 PE=2 SV=1. tr|D9ZIZ9|D9ZIZ9_MALDO GRF domain class transcription factor OS=Malus domestica GN=GRF3 PE=2 SV=1</t>
  </si>
  <si>
    <t>MD12G1020300</t>
  </si>
  <si>
    <t>Chr12:2007721..2007832</t>
  </si>
  <si>
    <t>MD12G1020200</t>
  </si>
  <si>
    <t>Chr12:2001237..2003471</t>
  </si>
  <si>
    <t>AT2G36410.2 | Symbols:  | Family of unknown function (DUF662)  | chr2:15279041-15280270 FORWARD LENGTH=192. PREDICTED: ankyrin repeat domain-containing protein 30A-like isoform X2 [Pyrus x bretschneideri]. tr|M5VRC4|M5VRC4_PRUPE Uncharacterized protein OS=Prunus persica GN=PRUPE_ppa012398mg PE=4 SV=1</t>
  </si>
  <si>
    <t>MD12G1020400</t>
  </si>
  <si>
    <t>Chr12:2008074..2008185</t>
  </si>
  <si>
    <t>MD12G1020600</t>
  </si>
  <si>
    <t>Chr12:2038235..2052269</t>
  </si>
  <si>
    <t>1,4-alpha-glucan-branching enzyme 1, chloroplastic/amyloplastic OS=Pisum sativum GN=SBEI PE=1 SV=1. AT2G36390.1 | Symbols: SBE2.1, BE3 | starch branching enzyme 2.1 | chr2:15264283-15269940 FORWARD LENGTH=858. starch branching enzyme II-2 [Malus domestica]. tr|A4GW34|A4GW34_MALDO Starch branching enzyme II-2 OS=Malus domestica PE=4 SV=1</t>
  </si>
  <si>
    <t>MD12G1020800</t>
  </si>
  <si>
    <t>Chr12:2059381..2066639</t>
  </si>
  <si>
    <t>ABC transporter G family member 34 OS=Arabidopsis thaliana GN=ABCG34 PE=2 SV=1. AT2G36380.1 | Symbols: PDR6, ATPDR6 | pleiotropic drug resistance 6 | chr2:15257583-15263627 FORWARD LENGTH=1453. PREDICTED: pleiotropic drug resistance protein 2-like [Pyrus x bretschneideri]. tr|M5VVQ9|M5VVQ9_PRUPE Uncharacterized protein OS=Prunus persica GN=PRUPE_ppa000212mg PE=3 SV=1</t>
  </si>
  <si>
    <t>MD12G1020700</t>
  </si>
  <si>
    <t>Chr12:2053479..2055897</t>
  </si>
  <si>
    <t>AT3G09970.1 | Symbols:  | Calcineurin-like metallo-phosphoesterase superfamily protein | chr3:3063813-3065337 FORWARD LENGTH=309. PREDICTED: uncharacterized protein LOC103955209 [Pyrus x bretschneideri]. tr|M5VRT4|M5VRT4_PRUPE Uncharacterized protein OS=Prunus persica GN=PRUPE_ppa015436mg PE=4 SV=1</t>
  </si>
  <si>
    <t>Malus x domestica isolate 1 retrotransposon Cassandra, complete sequence</t>
  </si>
  <si>
    <t>Malus x domestica clone Florina BAC 36I17, complete sequence</t>
  </si>
  <si>
    <t>MD16G1046400</t>
  </si>
  <si>
    <t>Chr16:3229375..3231742</t>
  </si>
  <si>
    <t>MD16G1046700</t>
  </si>
  <si>
    <t>Chr16:3239475..3240484</t>
  </si>
  <si>
    <t>MD16G1046200</t>
  </si>
  <si>
    <t>Chr16:3211379..3215454</t>
  </si>
  <si>
    <t>MD16G1047300</t>
  </si>
  <si>
    <t>Chr16:3292076..3294467</t>
  </si>
  <si>
    <t>MD16G1047100</t>
  </si>
  <si>
    <t>Chr16:3266698..3269842</t>
  </si>
  <si>
    <t>MD16G1046300</t>
  </si>
  <si>
    <t>Chr16:3224513..3229096</t>
  </si>
  <si>
    <t>AT1G25550.1 | Symbols:  | myb-like transcription factor family protein | chr1:8976644-8977942 FORWARD LENGTH=344. PREDICTED: uncharacterized protein LOC103402722 [Malus domestica]. Transcription factor HHO3 OS=Arabidopsis thaliana GN=HHO3 PE=2 SV=1. tr|M5XS96|M5XS96_PRUPE Uncharacterized protein OS=Prunus persica GN=PRUPE_ppa007222mg PE=4 SV=1</t>
  </si>
  <si>
    <t>MD16G1045900</t>
  </si>
  <si>
    <t>Chr16:3201316..3202570</t>
  </si>
  <si>
    <t>AT4G15180.1 | Symbols: SDG2, ATXR3 | SET domain protein 2 | chr4:8651999-8662178 FORWARD LENGTH=2335. Histone-lysine N-methyltransferase ATXR3 OS=Arabidopsis thaliana GN=ATXR3 PE=2 SV=2. PREDICTED: LOW QUALITY PROTEIN: histone-lysine N-methyltransferase ATXR3-like [Pyrus x bretschneideri]. tr|M5WYN5|M5WYN5_PRUPE Uncharacterized protein OS=Prunus persica GN=PRUPE_ppa000055mg PE=4 SV=1</t>
  </si>
  <si>
    <t>AT1G25500.2 | Symbols:  | Plasma-membrane choline transporter family protein | chr1:8955437-8957793 REVERSE LENGTH=488. CTL-like protein DDB_G0274487 OS=Dictyostelium discoideum GN=DDB_G0274487 PE=3 SV=1. PREDICTED: CTL-like protein DDB_G0274487 [Malus domestica]. tr|M5XRJ5|M5XRJ5_PRUPE Uncharacterized protein OS=Prunus persica GN=PRUPE_ppa004551mg PE=3 SV=1</t>
  </si>
  <si>
    <t>MD16G1046100</t>
  </si>
  <si>
    <t>Chr16:3209397..3209475</t>
  </si>
  <si>
    <t>MD16G1046600</t>
  </si>
  <si>
    <t>Chr16:3233576..3237840</t>
  </si>
  <si>
    <t>AT1G25530.1 | Symbols:  | Transmembrane amino acid transporter family protein | chr1:8964827-8967391 REVERSE LENGTH=440. Lysine histidine transporter-like 6 OS=Arabidopsis thaliana GN=At1g25530 PE=2 SV=1. PREDICTED: lysine histidine transporter-like 6 [Malus domestica]. tr|M5XW13|M5XW13_PRUPE Uncharacterized protein OS=Prunus persica GN=PRUPE_ppa005790mg PE=4 SV=1</t>
  </si>
  <si>
    <t>MD16G1047000</t>
  </si>
  <si>
    <t>Chr16:3265819..3266452</t>
  </si>
  <si>
    <t>40S ribosomal protein S3a OS=Cicer arietinum PE=2 SV=1. AT3G04840.1 | Symbols:  | Ribosomal protein S3Ae | chr3:1329751-1331418 FORWARD LENGTH=262. PREDICTED: LOW QUALITY PROTEIN: 40S ribosomal protein S3a-like [Malus domestica]. tr|A0A0A0L4P6|A0A0A0L4P6_CUCSA 40S ribosomal protein S3a OS=Cucumis sativus GN=Csa_3G146360 PE=3 SV=1</t>
  </si>
  <si>
    <t>MD16G1046500</t>
  </si>
  <si>
    <t>Chr16:3232699..3233224</t>
  </si>
  <si>
    <t>40S ribosomal protein S3a OS=Cicer arietinum PE=2 SV=1. AT3G04840.1 | Symbols:  | Ribosomal protein S3Ae | chr3:1329751-1331418 FORWARD LENGTH=262. PREDICTED: LOW QUALITY PROTEIN: 40S ribosomal protein S3a-like, partial [Malus domestica]. tr|M5Y710|M5Y710_PRUPE 40S ribosomal protein S3a OS=Prunus persica GN=PRUPE_ppa024854mg PE=3 SV=1</t>
  </si>
  <si>
    <t>MD16G1047200</t>
  </si>
  <si>
    <t>Chr16:3272501..3281132</t>
  </si>
  <si>
    <t>AT1G25540.1 | Symbols: PFT1 | phytochrome and flowering time regulatory protein (PFT1) | chr1:8969392-8974446 REVERSE LENGTH=836. Mediator of RNA polymerase II transcription subunit 25 OS=Arabidopsis thaliana GN=MED25 PE=1 SV=1. PREDICTED: mediator of RNA polymerase II transcription subunit 25 isoform X2 [Pyrus x bretschneideri]. tr|V4TH60|V4TH60_9ROSI Uncharacterized protein OS=Citrus clementina GN=CICLE_v10030710mg PE=4 SV=1</t>
  </si>
  <si>
    <t>MD16G1046900</t>
  </si>
  <si>
    <t>Chr16:3261159..3263912</t>
  </si>
  <si>
    <t>MD16G1046000</t>
  </si>
  <si>
    <t>Chr16:3204871..3208631</t>
  </si>
  <si>
    <t>MD16G1046800</t>
  </si>
  <si>
    <t>Chr16:3240515..3249120</t>
  </si>
  <si>
    <t>AT1G25540.1 | Symbols: PFT1 | phytochrome and flowering time regulatory protein (PFT1) | chr1:8969392-8974446 REVERSE LENGTH=836. Mediator of RNA polymerase II transcription subunit 25 OS=Arabidopsis thaliana GN=MED25 PE=1 SV=1. PREDICTED: mediator of RNA polymerase II transcription subunit 25 isoform X1 [Pyrus x bretschneideri] &amp;gt;gi|1079206037|ref|XP_018502991.1| PREDICTED: mediator of RNA polymerase II transcription subunit 25 isoform X1 [Pyrus x bretschneideri]. tr|A0A061EBX1|A0A061EBX1_THECC Phytochrome and flowering time regulatory protein isoform 1 OS=Theobroma cacao GN=TCM_011854 PE=4 SV=1</t>
  </si>
  <si>
    <t>AT1G68660.1 | Symbols:  | Ribosomal protein L12/ ATP-dependent Clp protease adaptor protein ClpS family protein | chr1:25778058-25779083 REVERSE LENGTH=159. ATP-dependent Clp protease adapter protein CLPS1, chloroplastic OS=Arabidopsis thaliana GN=CPLS1 PE=1 SV=1. PREDICTED: ATP-dependent Clp protease adapter protein CLPS1, chloroplastic-like isoform X2 [Malus domestica]. tr|M5XMM2|M5XMM2_PRUPE Uncharacterized protein OS=Prunus persica GN=PRUPE_ppa012655mg PE=3 SV=1</t>
  </si>
  <si>
    <t>AT1G25520.1 | Symbols:  | Uncharacterized protein family (UPF0016) | chr1:8962324-8964173 FORWARD LENGTH=230. GDT1-like protein 4 OS=Arabidopsis thaliana GN=At1g25520 PE=2 SV=1. PREDICTED: GDT1-like protein 4 isoform X2 [Pyrus x bretschneideri]. tr|M5XGN1|M5XGN1_PRUPE Uncharacterized protein OS=Prunus persica GN=PRUPE_ppa010936mg PE=4 SV=1</t>
  </si>
  <si>
    <t>AT1G25530.1 | Symbols:  | Transmembrane amino acid transporter family protein | chr1:8964827-8967391 REVERSE LENGTH=440. Lysine histidine transporter-like 6 OS=Arabidopsis thaliana GN=At1g25530 PE=2 SV=1. PREDICTED: lysine histidine transporter-like 6 [Malus domestica] &amp;gt;gi|658064555|ref|XP_008368221.1| PREDICTED: lysine histidine transporter-like 6 [Malus domestica]. tr|M5XW13|M5XW13_PRUPE Uncharacterized protein OS=Prunus persica GN=PRUPE_ppa005790mg PE=4 SV=1</t>
  </si>
  <si>
    <t>AT1G68640.1 | Symbols: PAN | bZIP transcription factor family protein | chr1:25769739-25772303 REVERSE LENGTH=452. PREDICTED: transcription factor HBP-1b(c38) [Malus domestica]. Transcription factor PERIANTHIA OS=Arabidopsis thaliana GN=PAN PE=1 SV=1. tr|M5Y7H4|M5Y7H4_PRUPE Uncharacterized protein OS=Prunus persica GN=PRUPE_ppa019842mg PE=4 SV=1</t>
  </si>
  <si>
    <t>AT1G29700.1 | Symbols:  | Metallo-hydrolase/oxidoreductase superfamily protein | chr1:10385196-10386906 REVERSE LENGTH=350. PREDICTED: uncharacterized protein LOC103425433 isoform X1 [Malus domestica]. tr|M5Y1J2|M5Y1J2_PRUPE Uncharacterized protein (Fragment) OS=Prunus persica GN=PRUPE_ppa016117mg PE=4 SV=1</t>
  </si>
  <si>
    <t>Solanum lycopersicum cultivar I-3 chromosome 5</t>
  </si>
  <si>
    <t>PREDICTED: Malus x domestica mediator of RNA polymerase II transcription subunit 25-like (LOC103431831), transcript variant X2, mRNA</t>
  </si>
  <si>
    <t>MD09G1267500</t>
  </si>
  <si>
    <t>Chr09:34175298..34176797</t>
  </si>
  <si>
    <t>MD09G1267600</t>
  </si>
  <si>
    <t>Chr09:34178922..34180838</t>
  </si>
  <si>
    <t>AT2G36640.1 | Symbols: ATECP63, ECP63 | embryonic cell protein 63 | chr2:15357019-15358552 REVERSE LENGTH=448. Late embryogenesis abundant protein ECP63 OS=Arabidopsis thaliana GN=ECP63 PE=2 SV=1. PREDICTED: embryonic protein DC-8-like isoform X1 [Malus domestica]. tr|M5VPI6|M5VPI6_PRUPE Uncharacterized protein OS=Prunus persica GN=PRUPE_ppa004780mg PE=4 SV=1</t>
  </si>
  <si>
    <t>MD09G1267100</t>
  </si>
  <si>
    <t>Chr09:34129261..34133124</t>
  </si>
  <si>
    <t>MD09G1267400</t>
  </si>
  <si>
    <t>Chr09:34167177..34174930</t>
  </si>
  <si>
    <t>AT5G37530.2 | Symbols:  | NAD(P)-binding Rossmann-fold superfamily protein | chr5:14906505-14909020 FORWARD LENGTH=456. PREDICTED: tRNA threonylcarbamoyladenosine dehydratase [Malus domestica]. tr|M5XBW2|M5XBW2_PRUPE Uncharacterized protein OS=Prunus persica GN=PRUPE_ppa005638mg PE=4 SV=1. tRNA threonylcarbamoyladenosine dehydratase OS=Schizosaccharomyces pombe (strain 972 / ATCC 24843) GN=SPAC1A6.10 PE=3 SV=1</t>
  </si>
  <si>
    <t>MD09G1267200</t>
  </si>
  <si>
    <t>Chr09:34141973..34148654</t>
  </si>
  <si>
    <t>AT3G02850.1 | Symbols: SKOR | STELAR K+ outward rectifier | chr3:619701-623473 REVERSE LENGTH=828. Potassium channel SKOR OS=Arabidopsis thaliana GN=SKOR PE=1 SV=1. PREDICTED: potassium channel SKOR-like isoform X3 [Citrus sinensis]. tr|V4S677|V4S677_9ROSI Uncharacterized protein OS=Citrus clementina GN=CICLE_v10004424mg PE=4 SV=1</t>
  </si>
  <si>
    <t>AT1G26500.1 | Symbols:  | Pentatricopeptide repeat (PPR) superfamily protein | chr1:9158380-9159897 FORWARD LENGTH=505. PREDICTED: putative pentatricopeptide repeat-containing protein At1g26500 [Malus domestica]. Putative pentatricopeptide repeat-containing protein At1g26500 OS=Arabidopsis thaliana GN=At1g26500 PE=3 SV=1. tr|M5Y2L9|M5Y2L9_PRUPE Uncharacterized protein (Fragment) OS=Prunus persica GN=PRUPE_ppa015711mg PE=4 SV=1</t>
  </si>
  <si>
    <t>AT1G66170.1 | Symbols: MMD1 | RING/FYVE/PHD zinc finger superfamily protein | chr1:24638793-24641222 REVERSE LENGTH=704. PHD finger protein MALE MEIOCYTE DEATH 1 OS=Arabidopsis thaliana GN=MMD1 PE=2 SV=1. PREDICTED: PHD finger protein MALE MEIOCYTE DEATH 1 [Malus domestica]. tr|M5WVM7|M5WVM7_PRUPE Uncharacterized protein OS=Prunus persica GN=PRUPE_ppa024280mg PE=4 SV=1</t>
  </si>
  <si>
    <t>MD09G1267300</t>
  </si>
  <si>
    <t>Chr09:34149450..34157940</t>
  </si>
  <si>
    <t>AT3G02850.1 | Symbols: SKOR | STELAR K+ outward rectifier | chr3:619701-623473 REVERSE LENGTH=828. Potassium channel SKOR OS=Arabidopsis thaliana GN=SKOR PE=1 SV=1. PREDICTED: potassium channel SKOR isoform X4 [Pyrus x bretschneideri]. tr|M5XBJ5|M5XBJ5_PRUPE Uncharacterized protein OS=Prunus persica GN=PRUPE_ppa001431mg PE=4 SV=1</t>
  </si>
  <si>
    <t>MD16G1048000</t>
  </si>
  <si>
    <t>Chr16:3349511..3350417</t>
  </si>
  <si>
    <t>MD16G1047600</t>
  </si>
  <si>
    <t>Chr16:3316458..3319736</t>
  </si>
  <si>
    <t>AT1G13270.1 | Symbols: MAP1C, MAP1B | methionine aminopeptidase 1B | chr1:4544999-4547155 FORWARD LENGTH=369. Methionine aminopeptidase 1B, chloroplastic OS=Arabidopsis thaliana GN=MAP1B PE=2 SV=2. PREDICTED: methionine aminopeptidase 1B, chloroplastic [Malus domestica] &amp;gt;gi|658009009|ref|XP_008339703.1| PREDICTED: methionine aminopeptidase 1B, chloroplastic [Malus domestica]. tr|M5XAZ6|M5XAZ6_PRUPE Methionine aminopeptidase OS=Prunus persica GN=PRUPE_ppa007539mg PE=3 SV=1</t>
  </si>
  <si>
    <t>MD16G1047800</t>
  </si>
  <si>
    <t>Chr16:3342716..3347071</t>
  </si>
  <si>
    <t>AT1G25570.1 | Symbols:  | Di-glucose binding protein with Leucine-rich repeat domain | chr1:8992183-8995430 REVERSE LENGTH=628. PREDICTED: putative leucine-rich repeat receptor-like serine/threonine-protein kinase At2g14440 [Pyrus x bretschneideri]. Putative leucine-rich repeat receptor-like serine/threonine-protein kinase At2g14440 OS=Arabidopsis thaliana GN=At2g14440 PE=3 SV=1. tr|M5XCL7|M5XCL7_PRUPE Uncharacterized protein OS=Prunus persica GN=PRUPE_ppa002857mg PE=4 SV=1</t>
  </si>
  <si>
    <t>MD16G1047400</t>
  </si>
  <si>
    <t>Chr16:3303420..3305028</t>
  </si>
  <si>
    <t>MD16G1047700</t>
  </si>
  <si>
    <t>Chr16:3329564..3330772</t>
  </si>
  <si>
    <t>MD16G1048100</t>
  </si>
  <si>
    <t>Chr16:3360420..3361493</t>
  </si>
  <si>
    <t>MD16G1047500</t>
  </si>
  <si>
    <t>Chr16:3312845..3314437</t>
  </si>
  <si>
    <t>Allene oxide cyclase, chloroplastic OS=Oryza sativa subsp. japonica GN=AOC PE=1 SV=1. AT1G13280.1 | Symbols: AOC4 | allene oxide cyclase 4 | chr1:4547624-4548552 FORWARD LENGTH=254. PREDICTED: allene oxide cyclase 4, chloroplastic [Malus domestica]. tr|M5XG39|M5XG39_PRUPE Uncharacterized protein OS=Prunus persica GN=PRUPE_ppa010397mg PE=4 SV=1</t>
  </si>
  <si>
    <t>AP2/ERF and B3 domain-containing transcription repressor TEM1 OS=Arabidopsis thaliana GN=TEM1 PE=1 SV=1. AT1G25560.1 | Symbols: TEM1, EDF1 | AP2/B3 transcription factor family protein | chr1:8981891-8982976 REVERSE LENGTH=361. PREDICTED: AP2/ERF and B3 domain-containing transcription factor RAV1 [Malus domestica]. tr|D5L120|D5L120_MALDO AP2 domain class transcription factor OS=Malus domestica GN=AP2D36 PE=2 SV=1</t>
  </si>
  <si>
    <t>AT1G13250.1 | Symbols: GATL3 | galacturonosyltransferase-like 3 | chr1:4528965-4530002 REVERSE LENGTH=345. PREDICTED: probable galacturonosyltransferase-like 3 [Malus domestica]. Probable galacturonosyltransferase-like 3 OS=Arabidopsis thaliana GN=GATL3 PE=2 SV=1. tr|M5XB94|M5XB94_PRUPE Hexosyltransferase OS=Prunus persica GN=PRUPE_ppa007794mg PE=3 SV=1</t>
  </si>
  <si>
    <t>AT1G13290.1 | Symbols: DOT5, WIP6 | C2H2-like zinc finger protein | chr1:4550366-4551527 REVERSE LENGTH=302. PREDICTED: zinc finger protein WIP6-like [Malus domestica]. tr|M5Y9Y1|M5Y9Y1_PRUPE Uncharacterized protein (Fragment) OS=Prunus persica GN=PRUPE_ppa020013m2g PE=4 SV=1. Zinc finger protein WIP6 OS=Arabidopsis thaliana GN=WIP6 PE=2 SV=1</t>
  </si>
  <si>
    <t>MD16G1047900</t>
  </si>
  <si>
    <t>Chr16:3348767..3348878</t>
  </si>
  <si>
    <t>PREDICTED: Malus x domestica flocculation protein FLO11-like (LOC103403248), mRNA</t>
  </si>
  <si>
    <t>MD10G1128200</t>
  </si>
  <si>
    <t>Chr10:20892235..20892510</t>
  </si>
  <si>
    <t>AT3G12770.1 | Symbols: MEF22 | mitochondrial editing factor  22 | chr3:4057027-4059193 REVERSE LENGTH=694. Pentatricopeptide repeat-containing protein At3g12770 OS=Arabidopsis thaliana GN=PCMP-H43 PE=2 SV=1. PREDICTED: pentatricopeptide repeat-containing protein At3g12770-like [Malus domestica]. tr|M5WZC4|M5WZC4_PRUPE Uncharacterized protein OS=Prunus persica GN=PRUPE_ppa026585mg PE=4 SV=1</t>
  </si>
  <si>
    <t>MD10G1128500</t>
  </si>
  <si>
    <t>Chr10:20908587..20909333</t>
  </si>
  <si>
    <t>AT4G12010.1 | Symbols:  | Disease resistance protein (TIR-NBS-LRR class) family | chr4:7197325-7201393 REVERSE LENGTH=1219. Disease resistance protein RRS1 OS=Arabidopsis thaliana GN=RRS1 PE=2 SV=1. PREDICTED: TMV resistance protein N-like [Malus domestica]. tr|M5X609|M5X609_PRUPE Uncharacterized protein OS=Prunus persica GN=PRUPE_ppa015427mg PE=4 SV=1</t>
  </si>
  <si>
    <t>MD10G1128900</t>
  </si>
  <si>
    <t>Chr10:20940544..20942412</t>
  </si>
  <si>
    <t>AT4G35130.1 | Symbols:  | Tetratricopeptide repeat (TPR)-like superfamily protein | chr4:16721084-16723498 REVERSE LENGTH=804. Pentatricopeptide repeat-containing protein At4g35130, chloroplastic OS=Arabidopsis thaliana GN=PCMP-H27 PE=3 SV=1. PREDICTED: pentatricopeptide repeat-containing protein At4g35130, chloroplastic [Malus domestica]. tr|M5VHF7|M5VHF7_PRUPE Uncharacterized protein OS=Prunus persica GN=PRUPE_ppa002025mg PE=4 SV=1</t>
  </si>
  <si>
    <t>MD10G1128400</t>
  </si>
  <si>
    <t>Chr10:20907371..20907937</t>
  </si>
  <si>
    <t>PREDICTED: TMV resistance protein N-like [Pyrus x bretschneideri]. tr|A0A1R3L530|A0A1R3L530_PRUPE Uncharacterized protein OS=Prunus persica GN=PRUPE_I001800 PE=4 SV=1</t>
  </si>
  <si>
    <t>MD10G1128800</t>
  </si>
  <si>
    <t>Chr10:20936988..20937439</t>
  </si>
  <si>
    <t>MD10G1129000</t>
  </si>
  <si>
    <t>Chr10:20964255..20964332</t>
  </si>
  <si>
    <t>MD10G1128300</t>
  </si>
  <si>
    <t>Chr10:20902181..20902708</t>
  </si>
  <si>
    <t>AT4G35230.1 | Symbols: BSK1 | BR-signaling kinase 1 | chr4:16755325-16758041 REVERSE LENGTH=512. PREDICTED: probable serine/threonine-protein kinase At4g35230 [Malus domestica]. Probable serine/threonine-protein kinase At4g35230 OS=Arabidopsis thaliana GN=At4g35230 PE=1 SV=1. tr|M5VIV2|M5VIV2_PRUPE Uncharacterized protein OS=Prunus persica GN=PRUPE_ppa004587mg PE=4 SV=1</t>
  </si>
  <si>
    <t>MD10G1128600</t>
  </si>
  <si>
    <t>Chr10:20911816..20914727</t>
  </si>
  <si>
    <t>AT4G12010.1 | Symbols:  | Disease resistance protein (TIR-NBS-LRR class) family | chr4:7197325-7201393 REVERSE LENGTH=1219. PREDICTED: TMV resistance protein N-like [Pyrus x bretschneideri]. TMV resistance protein N OS=Nicotiana glutinosa GN=N PE=1 SV=1. tr|M5X609|M5X609_PRUPE Uncharacterized protein OS=Prunus persica GN=PRUPE_ppa015427mg PE=4 SV=1</t>
  </si>
  <si>
    <t>MD10G1128700</t>
  </si>
  <si>
    <t>Chr10:20914795..20915539</t>
  </si>
  <si>
    <t>AT5G41540.1 | Symbols:  | Disease resistance protein (TIR-NBS-LRR class) family | chr5:16612659-16616063 REVERSE LENGTH=1038. PREDICTED: TMV resistance protein N-like [Pyrus x bretschneideri]. TMV resistance protein N OS=Nicotiana glutinosa GN=N PE=1 SV=1. tr|M5WIP0|M5WIP0_PRUPE Uncharacterized protein OS=Prunus persica GN=PRUPE_ppa020926mg PE=4 SV=1</t>
  </si>
  <si>
    <t>PREDICTED: uncharacterized protein LOC108865972 [Pyrus x bretschneideri]. tr|M5VHF3|M5VHF3_PRUPE Uncharacterized protein (Fragment) OS=Prunus persica GN=PRUPE_ppa022032mg PE=4 SV=1</t>
  </si>
  <si>
    <t>Linum usitatissimum chromosome Lu1</t>
  </si>
  <si>
    <t>MD16G1202200</t>
  </si>
  <si>
    <t>Chr16:18389803..18393081</t>
  </si>
  <si>
    <t>2-methyl-6-phytyl-1,4-hydroquinone methyltransferase, chloroplastic OS=Spinacia oleracea PE=1 SV=1. AT3G63410.1 | Symbols: APG1, VTE3, IEP37, E37 | S-adenosyl-L-methionine-dependent methyltransferases superfamily protein | chr3:23415816-23417002 REVERSE LENGTH=338. PREDICTED: 2-methyl-6-phytyl-1,4-hydroquinone methyltransferase, chloroplastic-like [Malus domestica] &amp;gt;gi|658052570|ref|XP_008362014.1| PREDICTED: 2-methyl-6-phytyl-1,4-hydroquinone methyltransferase, chloroplastic-like [Malus domestica]. tr|M5XDU2|M5XDU2_PRUPE Uncharacterized protein OS=Prunus persica GN=PRUPE_ppa008202mg PE=3 SV=1</t>
  </si>
  <si>
    <t>MD16G1202000</t>
  </si>
  <si>
    <t>Chr16:18381138..18381974</t>
  </si>
  <si>
    <t>PREDICTED: uncharacterized protein LOC108868224 [Pyrus x bretschneideri]. tr|M5XIT8|M5XIT8_PRUPE Uncharacterized protein OS=Prunus persica GN=PRUPE_ppa018683mg PE=4 SV=1</t>
  </si>
  <si>
    <t>MD16G1202400</t>
  </si>
  <si>
    <t>Chr16:18417249..18420774</t>
  </si>
  <si>
    <t>AT3G22942.1 | Symbols: AGG2 | G-protein gamma subunit 2 | chr3:8134475-8135667 FORWARD LENGTH=100. Guanine nucleotide-binding protein subunit gamma 2 OS=Arabidopsis thaliana GN=GG2 PE=1 SV=1. PREDICTED: guanine nucleotide-binding protein subunit gamma 2-like [Malus domestica]. tr|M5XM18|M5XM18_PRUPE Uncharacterized protein OS=Prunus persica GN=PRUPE_ppa013749mg PE=4 SV=1</t>
  </si>
  <si>
    <t>MD16G1202300</t>
  </si>
  <si>
    <t>Chr16:18398190..18401946</t>
  </si>
  <si>
    <t>AT3G55760.3 | Symbols:  | unknown protein; EXPRESSED IN: 16 plant structures; EXPRESSED DURING: 10 growth stages; BEST Arabidopsis thaliana protein match is: unknown protein (TAIR:AT1G42430.2). | chr3:20700648-20702886 FORWARD LENGTH=578. PREDICTED: uncharacterized protein LOC103403958 [Malus domestica]. tr|M5XPY2|M5XPY2_PRUPE Uncharacterized protein OS=Prunus persica GN=PRUPE_ppa003443mg PE=4 SV=1</t>
  </si>
  <si>
    <t>MD16G1202100</t>
  </si>
  <si>
    <t>Chr16:18385681..18387922</t>
  </si>
  <si>
    <t>MD16G1202500</t>
  </si>
  <si>
    <t>Chr16:18420952..18423773</t>
  </si>
  <si>
    <t>ADP-ribosylation factor-like protein 5 OS=Dictyostelium discoideum GN=arl5 PE=3 SV=1. AT3G22950.2 | Symbols: ARFC1 | ADP-ribosylation factor C1 | chr3:8136364-8137513 REVERSE LENGTH=183. PREDICTED: ADP-ribosylation factor-like protein 5 [Malus domestica] &amp;gt;gi|658035528|ref|XP_008353294.1| PREDICTED: ADP-ribosylation factor-like protein 5 [Malus domestica]. tr|A0A1Q3AP57|A0A1Q3AP57_CEPFO Arf domain-containing protein OS=Cephalotus follicularis GN=CFOL_v3_01068 PE=3 SV=1</t>
  </si>
  <si>
    <t>AT3G22930.1 | Symbols: CML11 | calmodulin-like 11 | chr3:8124286-8125835 REVERSE LENGTH=173. Calmodulin-like protein 11 OS=Arabidopsis thaliana GN=CML11 PE=2 SV=1. PREDICTED: calmodulin-like protein 11 isoform X2 [Malus domestica]. tr|A0A1S5R095|A0A1S5R095_9ROSA Calmodulin 5 OS=Pyrus x bretschneideri PE=2 SV=1</t>
  </si>
  <si>
    <t>MD16G1201900</t>
  </si>
  <si>
    <t>Chr16:18379392..18379742</t>
  </si>
  <si>
    <t>PREDICTED: uncharacterized protein LOC103964758 [Pyrus x bretschneideri]. tr|M5XIT8|M5XIT8_PRUPE Uncharacterized protein OS=Prunus persica GN=PRUPE_ppa018683mg PE=4 SV=1</t>
  </si>
  <si>
    <t>MD08G1237800</t>
  </si>
  <si>
    <t>Chr08:30494653..30497898</t>
  </si>
  <si>
    <t>AT1G28110.2 | Symbols: SCPL45 | serine carboxypeptidase-like 45 | chr1:9804153-9806832 REVERSE LENGTH=461. PREDICTED: serine carboxypeptidase-like 45 [Pyrus x bretschneideri]. Serine carboxypeptidase-like 45 OS=Arabidopsis thaliana GN=SCPL45 PE=2 SV=1. tr|M5WD84|M5WD84_PRUPE Carboxypeptidase OS=Prunus persica GN=PRUPE_ppa026347mg PE=3 SV=1</t>
  </si>
  <si>
    <t>MD08G1238700</t>
  </si>
  <si>
    <t>Chr08:30564802..30568491</t>
  </si>
  <si>
    <t>AT3G58970.1 | Symbols: MGT6, MRS2-4 | magnesium transporter 6 | chr3:21789659-21791163 REVERSE LENGTH=436. Magnesium transporter MRS2-4 OS=Arabidopsis thaliana GN=MRS2-4 PE=2 SV=1. PREDICTED: magnesium transporter MRS2-4-like [Pyrus x bretschneideri]. tr|M5XSF7|M5XSF7_PRUPE Uncharacterized protein OS=Prunus persica GN=PRUPE_ppa005562mg PE=4 SV=1</t>
  </si>
  <si>
    <t>MD08G1239100</t>
  </si>
  <si>
    <t>Chr08:30590344..30592596</t>
  </si>
  <si>
    <t>AT2G34930.1 | Symbols:  | disease resistance family protein / LRR family protein | chr2:14737169-14739886 REVERSE LENGTH=905. PREDICTED: probable leucine-rich repeat receptor-like protein kinase At5g63930 [Pyrus x bretschneideri]. Receptor-like protein 12 OS=Arabidopsis thaliana GN=RLP12 PE=2 SV=2. tr|M5XN47|M5XN47_PRUPE Uncharacterized protein OS=Prunus persica GN=PRUPE_ppa015243mg PE=4 SV=1</t>
  </si>
  <si>
    <t>MD08G1238500</t>
  </si>
  <si>
    <t>Chr08:30550931..30555002</t>
  </si>
  <si>
    <t>MD08G1238400</t>
  </si>
  <si>
    <t>Chr08:30544090..30546573</t>
  </si>
  <si>
    <t>MD08G1238200</t>
  </si>
  <si>
    <t>Chr08:30518095..30530264</t>
  </si>
  <si>
    <t>MD08G1239000</t>
  </si>
  <si>
    <t>Chr08:30581187..30582143</t>
  </si>
  <si>
    <t>MD08G1238900</t>
  </si>
  <si>
    <t>Chr08:30580278..30580997</t>
  </si>
  <si>
    <t>MD08G1237900</t>
  </si>
  <si>
    <t>Chr08:30499795..30500244</t>
  </si>
  <si>
    <t>AT1G07390.1 | Symbols: AtRLP1, RLP1 | receptor like protein 1 | chr1:2269893-2274654 FORWARD LENGTH=1034. Brassinosteroid LRR receptor kinase BRL2 OS=Oryza sativa subsp. japonica GN=BRL2 PE=2 SV=1. PREDICTED: systemin receptor SR160-like [Pyrus x bretschneideri]. tr|M5XIT2|M5XIT2_PRUPE Uncharacterized protein OS=Prunus persica GN=PRUPE_ppa026322mg PE=4 SV=1</t>
  </si>
  <si>
    <t>MD08G1238800</t>
  </si>
  <si>
    <t>Chr08:30572960..30578962</t>
  </si>
  <si>
    <t>AT1G58110.2 | Symbols:  | Basic-leucine zipper (bZIP) transcription factor family protein | chr1:21515919-21517374 REVERSE LENGTH=374. PREDICTED: uncharacterized protein At4g06598-like [Pyrus x bretschneideri]. tr|M5XDQ1|M5XDQ1_PRUPE Uncharacterized protein OS=Prunus persica GN=PRUPE_ppa006939mg PE=4 SV=1. Uncharacterized protein At4g06598 OS=Arabidopsis thaliana GN=At4g06598 PE=2 SV=2</t>
  </si>
  <si>
    <t>MD08G1238100</t>
  </si>
  <si>
    <t>Chr08:30507207..30507324</t>
  </si>
  <si>
    <t>MD08G1238000</t>
  </si>
  <si>
    <t>Chr08:30505134..30505244</t>
  </si>
  <si>
    <t>MD08G1238300</t>
  </si>
  <si>
    <t>Chr08:30539670..30540242</t>
  </si>
  <si>
    <t>AT5G40170.1 | Symbols: AtRLP54, RLP54 | receptor like protein 54 | chr5:16065179-16067557 REVERSE LENGTH=792. Brassinosteroid LRR receptor kinase BRL2 OS=Oryza sativa subsp. japonica GN=BRL2 PE=2 SV=1. PREDICTED: systemin receptor SR160-like [Pyrus x bretschneideri]. tr|B7SWJ4|B7SWJ4_9ROSA M18-S3Bp OS=Malus floribunda PE=4 SV=1</t>
  </si>
  <si>
    <t>MD08G1239200</t>
  </si>
  <si>
    <t>Chr08:30592681..30593115</t>
  </si>
  <si>
    <t>AT1G07390.2 | Symbols: AtRLP1, RLP1 | receptor like protein 1 | chr1:2270633-2274654 FORWARD LENGTH=913. Leucine-rich repeat receptor-like kinase protein FLORAL ORGAN NUMBER1 OS=Oryza sativa subsp. japonica GN=FON1 PE=1 SV=1. PREDICTED: probable leucine-rich repeat receptor-like protein kinase At5g63930 [Pyrus x bretschneideri]. tr|M5XIT2|M5XIT2_PRUPE Uncharacterized protein OS=Prunus persica GN=PRUPE_ppa026322mg PE=4 SV=1</t>
  </si>
  <si>
    <t>AT2G34930.1 | Symbols:  | disease resistance family protein / LRR family protein | chr2:14737169-14739886 REVERSE LENGTH=905. LRR receptor-like serine/threonine-protein kinase GSO1 OS=Arabidopsis thaliana GN=GSO1 PE=1 SV=1. PREDICTED: receptor-like protein 12 [Pyrus x bretschneideri]. tr|B7SWJ5|B7SWJ5_9ROSA M18S-3Cp OS=Malus floribunda PE=4 SV=1</t>
  </si>
  <si>
    <t>AT3G05650.1 | Symbols: AtRLP32, RLP32 | receptor like protein 32 | chr3:1645884-1648490 REVERSE LENGTH=868. PREDICTED: receptor-like protein 12 [Pyrus x bretschneideri]. Receptor-like protein 12 OS=Arabidopsis thaliana GN=RLP12 PE=2 SV=2. tr|M5XIT2|M5XIT2_PRUPE Uncharacterized protein OS=Prunus persica GN=PRUPE_ppa026322mg PE=4 SV=1</t>
  </si>
  <si>
    <t>AT1G28110.2 | Symbols: SCPL45 | serine carboxypeptidase-like 45 | chr1:9804153-9806832 REVERSE LENGTH=461. hypothetical protein PRUPE_1G217200 [Prunus persica]. Serine carboxypeptidase-like 45 OS=Arabidopsis thaliana GN=SCPL45 PE=2 SV=1. tr|A0A0E0F672|A0A0E0F672_9ORYZ Uncharacterized protein OS=Oryza meridionalis PE=3 SV=1</t>
  </si>
  <si>
    <t>MD08G1238600</t>
  </si>
  <si>
    <t>Chr08:30555691..30555802</t>
  </si>
  <si>
    <t>Malus x domestica isolate 2 retrotransposon Cassandra, complete sequence</t>
  </si>
  <si>
    <t>Eriobotrya japonica heat shock protein 70-2 (Hsp70-2) mRNA, complete cds</t>
  </si>
  <si>
    <t>Malus x domestica MdTFL1a gene for TFL1 like protein, complete cds</t>
  </si>
  <si>
    <t>Total phenolics</t>
  </si>
  <si>
    <t>No significant results</t>
  </si>
  <si>
    <t>Total HCA</t>
  </si>
  <si>
    <t>Total flavonols</t>
  </si>
  <si>
    <t>Total anthocyanins (sqrt)</t>
  </si>
  <si>
    <t>Total fluorescence</t>
  </si>
  <si>
    <t>Chlorogenic acid</t>
  </si>
  <si>
    <t>Rutin (log)</t>
  </si>
  <si>
    <t>Quercitrin (log)</t>
  </si>
  <si>
    <t>Cyanidin-3-galactoside (sqrt)</t>
  </si>
  <si>
    <t>Catechin</t>
  </si>
  <si>
    <t>Epicatechin</t>
  </si>
  <si>
    <t>Phloridzin (log)</t>
  </si>
  <si>
    <t>Isoquercetin (log)</t>
  </si>
  <si>
    <t>Procyanidin B1</t>
  </si>
  <si>
    <t>Procyanidin B2</t>
  </si>
  <si>
    <t>Procyanidin C1</t>
  </si>
  <si>
    <t>Avicularin</t>
  </si>
  <si>
    <t>4-O-caffeoylquinic acid (sqrt)</t>
  </si>
  <si>
    <t>MD01G1139000</t>
  </si>
  <si>
    <t>Chr01:24862776..24863774</t>
  </si>
  <si>
    <t>MD01G1138400</t>
  </si>
  <si>
    <t>Chr01:24787862..24787974</t>
  </si>
  <si>
    <t>MD01G1138500</t>
  </si>
  <si>
    <t>Chr01:24798526..24799494</t>
  </si>
  <si>
    <t>AT3G55560.1 | Symbols: AGF2, AHL15 | AT-hook protein of GA feedback 2 | chr3:20604904-20605836 REVERSE LENGTH=310. AT-hook motif nuclear-localized protein 15 OS=Arabidopsis thaliana GN=AHL15 PE=2 SV=1. PREDICTED: AT-hook motif nuclear-localized protein 15 [Malus domestica]. tr|M5XDF2|M5XDF2_PRUPE Uncharacterized protein OS=Prunus persica GN=PRUPE_ppa008610mg PE=4 SV=1</t>
  </si>
  <si>
    <t>MD01G1139100</t>
  </si>
  <si>
    <t>Chr01:24878823..24882032</t>
  </si>
  <si>
    <t>MD01G1138900</t>
  </si>
  <si>
    <t>Chr01:24842195..24846590</t>
  </si>
  <si>
    <t>AT5G06060.1 | Symbols:  | NAD(P)-binding Rossmann-fold superfamily protein | chr5:1824066-1825833 REVERSE LENGTH=264. PREDICTED: tropinone reductase homolog At5g06060-like [Pyrus x bretschneideri]. tr|M5XLT4|M5XLT4_PRUPE Uncharacterized protein OS=Prunus persica GN=PRUPE_ppa009941mg PE=4 SV=1. Tropinone reductase homolog At5g06060 OS=Arabidopsis thaliana GN=At5g06060 PE=2 SV=1</t>
  </si>
  <si>
    <t>AT5G06070.1 | Symbols: RBE, RAB | C2H2 and C2HC zinc fingers superfamily protein | chr5:1828426-1829106 REVERSE LENGTH=226. Probable transcriptional regulator RABBIT EARS OS=Arabidopsis thaliana GN=RBE PE=2 SV=2. transcriptional regulator superman [Malus domestica]. tr|F6KKG4|F6KKG4_MALDO Transcriptional regulator superman OS=Malus domestica GN=SUP1a PE=2 SV=1</t>
  </si>
  <si>
    <t>MD01G1138800</t>
  </si>
  <si>
    <t>Chr01:24839160..24841296</t>
  </si>
  <si>
    <t>AT2G44920.2 | Symbols:  | Tetratricopeptide repeat (TPR)-like superfamily protein | chr2:18524419-18526502 FORWARD LENGTH=224. PREDICTED: thylakoid lumenal 15 kDa protein 1, chloroplastic [Pyrus x bretschneideri]. Thylakoid lumenal 15 kDa protein 1, chloroplastic OS=Arabidopsis thaliana GN=At2g44920 PE=1 SV=2. tr|A0A0D2TEA0|A0A0D2TEA0_GOSRA Uncharacterized protein OS=Gossypium raimondii GN=B456_011G267900 PE=4 SV=1</t>
  </si>
  <si>
    <t>MD01G1138300</t>
  </si>
  <si>
    <t>Chr01:24787542..24787657</t>
  </si>
  <si>
    <t>MD01G1138700</t>
  </si>
  <si>
    <t>Chr01:24831168..24836738</t>
  </si>
  <si>
    <t>AT2G37730.1 | Symbols:  | Protein of unknown function (DUF604) | chr2:15822186-15824538 REVERSE LENGTH=532. PREDICTED: uncharacterized protein LOC103406357 [Malus domestica] &amp;gt;gi|658037130|ref|XP_008354126.1| PREDICTED: uncharacterized protein LOC103417744 [Malus domestica]. tr|M5WZB3|M5WZB3_PRUPE Uncharacterized protein OS=Prunus persica GN=PRUPE_ppa005096mg PE=4 SV=1</t>
  </si>
  <si>
    <t>ARF guanine-nucleotide exchange factor GNOM OS=Arabidopsis thaliana GN=GN PE=1 SV=1. AT1G13980.2 | Symbols: GN | sec7 domain-containing protein | chr1:4789587-4794397 FORWARD LENGTH=1451. PREDICTED: ARF guanine-nucleotide exchange factor GNOM-like [Pyrus x bretschneideri] &amp;gt;gi|694318688|ref|XP_009343829.1| PREDICTED: ARF guanine-nucleotide exchange factor GNOM-like [Pyrus x bretschneideri]. tr|M5XJT5|M5XJT5_PRUPE Uncharacterized protein OS=Prunus persica GN=PRUPE_ppa000208mg PE=4 SV=1</t>
  </si>
  <si>
    <t>MD01G1138200</t>
  </si>
  <si>
    <t>Chr01:24787207..24787325</t>
  </si>
  <si>
    <t>MD01G1138600</t>
  </si>
  <si>
    <t>Chr01:24824058..24829565</t>
  </si>
  <si>
    <t>ARF guanine-nucleotide exchange factor GNOM OS=Arabidopsis thaliana GN=GN PE=1 SV=1. AT1G13980.2 | Symbols: GN | sec7 domain-containing protein | chr1:4789587-4794397 FORWARD LENGTH=1451. PREDICTED: ARF guanine-nucleotide exchange factor GNOM-like [Malus domestica]. tr|M5X3L2|M5X3L2_PRUPE Uncharacterized protein OS=Prunus persica GN=PRUPE_ppa000200mg PE=4 SV=1</t>
  </si>
  <si>
    <t>No results found</t>
  </si>
  <si>
    <t>Triticum aestivum clone TVUL082 5S ribosomal RNA and non-transcribed spacer intergenic spacer, partial sequence</t>
  </si>
  <si>
    <t>AT1G61150.1 | Symbols: | LisH and RanBPM domains containing protein | chr1:22542928-22544355 FORWARD LENGTH=243. Glucose-induced degradation protein 8 homolog OS=Dictyostelium discoideum GN=DDB_G0279265 PE=3 SV=2. PREDICTED: glucose-induced degradation protein 8 homolog isoform X2 [Pyrus x bretschneideri]. tr|A0A067GKH3|A0A067GKH3_CITSI Uncharacterized protein OS=Citrus sinensis GN=CISIN_1g026151mg PE=4 SV=1</t>
  </si>
  <si>
    <t>hypothetical protein PRUPE_4G040400 [Prunus persica] &gt;gi|1139776130|gb|ONI10317.1| hypothetical protein PRUPE_4G040400 [Prunus persica]. tr|M5WKE2|M5WKE2_PRUPE Uncharacterized protein OS=Prunus persica GN=PRUPE_ppa015232mg PE=4 SV=1</t>
  </si>
  <si>
    <t>Alpha-galactosidase 2 OS=Arabidopsis thaliana GN=AGAL2 PE=1 SV=1. AT5G08370.1 | Symbols: AtAGAL2, AGAL2 | alpha-galactosidase 2 | chr5:2691116-2693441 REVERSE LENGTH=396. PREDICTED: alpha-galactosidase [Malus domestica] &gt;gi|658040780|ref|XP_008355997.1| PREDICTED: alpha-galactosidase-like isoform X3 [Malus domestica]. tr|M5WH74|M5WH74_PRUPE Alpha-galactosidase OS=Prunus persica GN=PRUPE_ppa007136mg PE=3 SV=1</t>
  </si>
  <si>
    <t>NAC transcription factor 25-like [Malus domestica] &gt;gi|302399021|gb|ADL36805.1| NAC domain class transcription factor [Malus domestica]. tr|D9ZJA2|D9ZJA2_MALDO NAC domain class transcription factor OS=Malus domestica GN=NAC3 PE=2 SV=1</t>
  </si>
  <si>
    <t>AT1G11090.1 | Symbols: | alpha/beta-Hydrolases superfamily protein | chr1:3702655-3703629 FORWARD LENGTH=324. Caffeoylshikimate esterase OS=Arabidopsis thaliana GN=CSE PE=1 SV=1. PREDICTED: LOW QUALITY PROTEIN: caffeoylshikimate esterase [Malus domestica]. tr|M5X0Z5|M5X0Z5_PRUPE Uncharacterized protein OS=Prunus persica GN=PRUPE_ppa008252mg PE=4 SV=1</t>
  </si>
  <si>
    <t>AT1G61110.1 | Symbols: anac025, NAC025 | NAC domain containing protein 25 | chr1:22516730-22518055 FORWARD LENGTH=323. NAC transcription factor 25-like [Malus domestica] &gt;gi|302399021|gb|ADL36805.1| NAC domain class transcription factor [Malus domestica]. NAC transcription factor 25 OS=Arabidopsis thaliana GN=NAC025 PE=2 SV=1. tr|D9ZJA2|D9ZJA2_MALDO NAC domain class transcription factor OS=Malus domestica GN=NAC3 PE=2 SV=1</t>
  </si>
  <si>
    <t>Position</t>
  </si>
  <si>
    <r>
      <t xml:space="preserve">Cumulative </t>
    </r>
    <r>
      <rPr>
        <b/>
        <i/>
        <sz val="12"/>
        <color theme="1"/>
        <rFont val="Calibri"/>
        <scheme val="minor"/>
      </rPr>
      <t>R</t>
    </r>
    <r>
      <rPr>
        <b/>
        <i/>
        <vertAlign val="superscript"/>
        <sz val="12"/>
        <color theme="1"/>
        <rFont val="Calibri"/>
        <scheme val="minor"/>
      </rPr>
      <t>2</t>
    </r>
  </si>
  <si>
    <t>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</si>
</sst>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i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i/>
      <vertAlign val="superscript"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 applyFill="1" applyBorder="1"/>
    <xf numFmtId="0" fontId="5" fillId="0" borderId="0" xfId="0" applyFont="1" applyFill="1" applyBorder="1"/>
    <xf numFmtId="0" fontId="5" fillId="0" borderId="1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1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1" fontId="0" fillId="0" borderId="0" xfId="0" applyNumberFormat="1" applyFill="1" applyBorder="1" applyAlignment="1">
      <alignment horizontal="center"/>
    </xf>
    <xf numFmtId="11" fontId="0" fillId="0" borderId="1" xfId="0" applyNumberFormat="1" applyFill="1" applyBorder="1" applyAlignment="1">
      <alignment horizontal="center"/>
    </xf>
    <xf numFmtId="0" fontId="1" fillId="0" borderId="0" xfId="0" applyFont="1" applyFill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3" xfId="0" applyFont="1" applyFill="1" applyBorder="1"/>
    <xf numFmtId="0" fontId="0" fillId="0" borderId="3" xfId="0" applyFill="1" applyBorder="1"/>
    <xf numFmtId="11" fontId="0" fillId="0" borderId="3" xfId="0" applyNumberFormat="1" applyFill="1" applyBorder="1"/>
    <xf numFmtId="2" fontId="0" fillId="0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0" xfId="0" applyFont="1" applyFill="1" applyBorder="1"/>
    <xf numFmtId="0" fontId="4" fillId="0" borderId="0" xfId="0" applyFont="1" applyFill="1"/>
    <xf numFmtId="0" fontId="5" fillId="0" borderId="0" xfId="0" applyFont="1" applyFill="1"/>
    <xf numFmtId="0" fontId="1" fillId="0" borderId="2" xfId="0" applyFont="1" applyFill="1" applyBorder="1"/>
    <xf numFmtId="0" fontId="6" fillId="0" borderId="2" xfId="0" applyFont="1" applyFill="1" applyBorder="1"/>
    <xf numFmtId="11" fontId="0" fillId="0" borderId="2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0" xfId="0" applyFont="1" applyFill="1"/>
  </cellXfs>
  <cellStyles count="2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62" builtinId="8" hidden="1"/>
    <cellStyle name="Hyperlink" xfId="64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07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RowHeight="15" x14ac:dyDescent="0"/>
  <cols>
    <col min="1" max="2" width="25.83203125" style="10" customWidth="1"/>
    <col min="3" max="3" width="5.6640625" style="19" customWidth="1"/>
    <col min="4" max="4" width="18.6640625" style="10" bestFit="1" customWidth="1"/>
    <col min="5" max="5" width="11.6640625" style="19" customWidth="1"/>
    <col min="6" max="6" width="17.5" style="18" customWidth="1"/>
    <col min="7" max="7" width="5.5" style="10" customWidth="1"/>
    <col min="8" max="8" width="16.33203125" style="10" customWidth="1"/>
    <col min="9" max="9" width="25.6640625" style="10" customWidth="1"/>
    <col min="10" max="16384" width="10.83203125" style="10"/>
  </cols>
  <sheetData>
    <row r="1" spans="1:56" s="3" customFormat="1" ht="16">
      <c r="A1" s="1" t="s">
        <v>321</v>
      </c>
      <c r="B1" s="1" t="s">
        <v>0</v>
      </c>
      <c r="C1" s="1" t="s">
        <v>2</v>
      </c>
      <c r="D1" s="1" t="s">
        <v>319</v>
      </c>
      <c r="E1" s="1" t="s">
        <v>1</v>
      </c>
      <c r="F1" s="14" t="s">
        <v>320</v>
      </c>
      <c r="G1" s="2"/>
    </row>
    <row r="2" spans="1:56">
      <c r="A2" s="11" t="s">
        <v>265</v>
      </c>
      <c r="B2" s="12" t="s">
        <v>266</v>
      </c>
      <c r="C2" s="13"/>
      <c r="D2" s="11"/>
      <c r="E2" s="13"/>
      <c r="F2" s="15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1:56">
      <c r="A3" s="22" t="s">
        <v>267</v>
      </c>
      <c r="B3" s="41" t="str">
        <f>CONCATENATE("chr:",C3, ":", D3)</f>
        <v>chr:17:26245411</v>
      </c>
      <c r="C3" s="19">
        <v>17</v>
      </c>
      <c r="D3" s="10">
        <v>26245411</v>
      </c>
      <c r="E3" s="17">
        <v>6.4760589999999996E-7</v>
      </c>
      <c r="F3" s="18">
        <v>0.45155767000000002</v>
      </c>
      <c r="G3" s="22" t="s">
        <v>3</v>
      </c>
    </row>
    <row r="4" spans="1:56">
      <c r="B4" s="41"/>
      <c r="E4" s="17"/>
      <c r="G4" s="10">
        <v>1</v>
      </c>
      <c r="H4" s="10" t="s">
        <v>33</v>
      </c>
      <c r="I4" s="10" t="s">
        <v>34</v>
      </c>
      <c r="J4" s="10" t="s">
        <v>37</v>
      </c>
    </row>
    <row r="5" spans="1:56">
      <c r="B5" s="41"/>
      <c r="E5" s="17"/>
      <c r="G5" s="10">
        <v>2</v>
      </c>
      <c r="H5" s="10" t="s">
        <v>26</v>
      </c>
      <c r="I5" s="10" t="s">
        <v>27</v>
      </c>
      <c r="J5" s="10" t="s">
        <v>35</v>
      </c>
    </row>
    <row r="6" spans="1:56">
      <c r="B6" s="41"/>
      <c r="E6" s="17"/>
      <c r="G6" s="10">
        <v>3</v>
      </c>
      <c r="H6" s="10" t="s">
        <v>10</v>
      </c>
      <c r="I6" s="10" t="s">
        <v>11</v>
      </c>
      <c r="J6" s="10" t="s">
        <v>36</v>
      </c>
    </row>
    <row r="7" spans="1:56">
      <c r="B7" s="41"/>
      <c r="E7" s="17"/>
      <c r="G7" s="10">
        <v>4</v>
      </c>
      <c r="H7" s="10" t="s">
        <v>14</v>
      </c>
      <c r="I7" s="10" t="s">
        <v>15</v>
      </c>
      <c r="J7" s="10" t="s">
        <v>16</v>
      </c>
    </row>
    <row r="8" spans="1:56">
      <c r="B8" s="41"/>
      <c r="E8" s="17"/>
      <c r="G8" s="10">
        <v>5</v>
      </c>
      <c r="H8" s="10" t="s">
        <v>22</v>
      </c>
      <c r="I8" s="10" t="s">
        <v>23</v>
      </c>
      <c r="J8" s="10" t="s">
        <v>24</v>
      </c>
    </row>
    <row r="9" spans="1:56">
      <c r="B9" s="41"/>
      <c r="E9" s="17"/>
      <c r="G9" s="10">
        <v>6</v>
      </c>
      <c r="H9" s="10" t="s">
        <v>4</v>
      </c>
      <c r="I9" s="10" t="s">
        <v>5</v>
      </c>
      <c r="J9" s="10" t="s">
        <v>6</v>
      </c>
    </row>
    <row r="10" spans="1:56">
      <c r="B10" s="41"/>
      <c r="E10" s="17"/>
      <c r="G10" s="10">
        <v>7</v>
      </c>
      <c r="H10" s="10" t="s">
        <v>12</v>
      </c>
      <c r="I10" s="10" t="s">
        <v>13</v>
      </c>
      <c r="J10" s="10" t="s">
        <v>25</v>
      </c>
    </row>
    <row r="11" spans="1:56">
      <c r="B11" s="41"/>
      <c r="E11" s="17"/>
      <c r="G11" s="10">
        <v>8</v>
      </c>
      <c r="H11" s="10" t="s">
        <v>19</v>
      </c>
      <c r="I11" s="10" t="s">
        <v>20</v>
      </c>
      <c r="J11" s="10" t="s">
        <v>21</v>
      </c>
    </row>
    <row r="12" spans="1:56">
      <c r="B12" s="41"/>
      <c r="E12" s="17"/>
      <c r="G12" s="10">
        <v>9</v>
      </c>
      <c r="H12" s="10" t="s">
        <v>7</v>
      </c>
      <c r="I12" s="10" t="s">
        <v>8</v>
      </c>
      <c r="J12" s="10" t="s">
        <v>9</v>
      </c>
    </row>
    <row r="13" spans="1:56">
      <c r="B13" s="41"/>
      <c r="E13" s="17"/>
      <c r="G13" s="10">
        <v>10</v>
      </c>
      <c r="H13" s="10" t="s">
        <v>17</v>
      </c>
      <c r="I13" s="10" t="s">
        <v>18</v>
      </c>
      <c r="J13" s="10" t="s">
        <v>30</v>
      </c>
    </row>
    <row r="14" spans="1:56">
      <c r="B14" s="41"/>
      <c r="E14" s="17"/>
      <c r="G14" s="10">
        <v>11</v>
      </c>
      <c r="H14" s="10" t="s">
        <v>28</v>
      </c>
      <c r="I14" s="10" t="s">
        <v>29</v>
      </c>
      <c r="J14" s="10" t="s">
        <v>39</v>
      </c>
    </row>
    <row r="15" spans="1:56">
      <c r="A15" s="9"/>
      <c r="B15" s="8"/>
      <c r="C15" s="24"/>
      <c r="D15" s="9"/>
      <c r="E15" s="21"/>
      <c r="F15" s="23"/>
      <c r="G15" s="9">
        <v>12</v>
      </c>
      <c r="H15" s="9" t="s">
        <v>31</v>
      </c>
      <c r="I15" s="9" t="s">
        <v>32</v>
      </c>
      <c r="J15" s="9" t="s">
        <v>38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</row>
    <row r="16" spans="1:56">
      <c r="A16" s="22" t="s">
        <v>268</v>
      </c>
      <c r="B16" s="41" t="str">
        <f>CONCATENATE("chr:",C16, ":", D16)</f>
        <v>chr:5:44871919</v>
      </c>
      <c r="C16" s="19">
        <v>5</v>
      </c>
      <c r="D16" s="10">
        <v>44871919</v>
      </c>
      <c r="E16" s="17">
        <v>2.138962E-8</v>
      </c>
      <c r="F16" s="18">
        <v>0.47176668999999999</v>
      </c>
      <c r="G16" s="22" t="s">
        <v>3</v>
      </c>
    </row>
    <row r="17" spans="2:10">
      <c r="B17" s="41"/>
      <c r="E17" s="17"/>
      <c r="G17" s="4">
        <v>1</v>
      </c>
      <c r="H17" s="10" t="s">
        <v>52</v>
      </c>
      <c r="I17" s="10" t="s">
        <v>53</v>
      </c>
      <c r="J17" s="10" t="s">
        <v>61</v>
      </c>
    </row>
    <row r="18" spans="2:10">
      <c r="B18" s="41"/>
      <c r="E18" s="17"/>
      <c r="G18" s="4">
        <v>2</v>
      </c>
      <c r="H18" s="10" t="s">
        <v>58</v>
      </c>
      <c r="I18" s="10" t="s">
        <v>59</v>
      </c>
      <c r="J18" s="10" t="s">
        <v>60</v>
      </c>
    </row>
    <row r="19" spans="2:10">
      <c r="B19" s="41"/>
      <c r="E19" s="17"/>
      <c r="G19" s="4">
        <v>3</v>
      </c>
      <c r="H19" s="10" t="s">
        <v>46</v>
      </c>
      <c r="I19" s="10" t="s">
        <v>47</v>
      </c>
      <c r="J19" s="10" t="s">
        <v>48</v>
      </c>
    </row>
    <row r="20" spans="2:10">
      <c r="B20" s="41"/>
      <c r="E20" s="17"/>
      <c r="G20" s="4">
        <v>4</v>
      </c>
      <c r="H20" s="10" t="s">
        <v>62</v>
      </c>
      <c r="I20" s="10" t="s">
        <v>63</v>
      </c>
      <c r="J20" s="10" t="s">
        <v>64</v>
      </c>
    </row>
    <row r="21" spans="2:10">
      <c r="B21" s="41"/>
      <c r="E21" s="17"/>
      <c r="G21" s="4">
        <v>5</v>
      </c>
      <c r="H21" s="10" t="s">
        <v>43</v>
      </c>
      <c r="I21" s="10" t="s">
        <v>44</v>
      </c>
      <c r="J21" s="10" t="s">
        <v>45</v>
      </c>
    </row>
    <row r="22" spans="2:10">
      <c r="B22" s="41"/>
      <c r="E22" s="17"/>
      <c r="G22" s="4">
        <v>6</v>
      </c>
      <c r="H22" s="10" t="s">
        <v>56</v>
      </c>
      <c r="I22" s="10" t="s">
        <v>57</v>
      </c>
      <c r="J22" s="10" t="s">
        <v>66</v>
      </c>
    </row>
    <row r="23" spans="2:10">
      <c r="B23" s="41"/>
      <c r="E23" s="17"/>
      <c r="G23" s="4">
        <v>7</v>
      </c>
      <c r="H23" s="10" t="s">
        <v>54</v>
      </c>
      <c r="I23" s="10" t="s">
        <v>55</v>
      </c>
      <c r="J23" s="10" t="s">
        <v>65</v>
      </c>
    </row>
    <row r="24" spans="2:10">
      <c r="B24" s="41"/>
      <c r="E24" s="17"/>
      <c r="G24" s="4">
        <v>8</v>
      </c>
      <c r="H24" s="10" t="s">
        <v>40</v>
      </c>
      <c r="I24" s="10" t="s">
        <v>41</v>
      </c>
      <c r="J24" s="10" t="s">
        <v>42</v>
      </c>
    </row>
    <row r="25" spans="2:10">
      <c r="B25" s="41"/>
      <c r="E25" s="17"/>
      <c r="G25" s="4">
        <v>9</v>
      </c>
      <c r="H25" s="10" t="s">
        <v>49</v>
      </c>
      <c r="I25" s="10" t="s">
        <v>50</v>
      </c>
      <c r="J25" s="10" t="s">
        <v>51</v>
      </c>
    </row>
    <row r="26" spans="2:10">
      <c r="B26" s="41"/>
      <c r="C26" s="19">
        <v>12</v>
      </c>
      <c r="D26" s="10">
        <v>1997684</v>
      </c>
      <c r="E26" s="17">
        <v>1.1625859999999999E-6</v>
      </c>
      <c r="F26" s="18">
        <v>0.57113097999999995</v>
      </c>
      <c r="G26" s="22" t="s">
        <v>3</v>
      </c>
    </row>
    <row r="27" spans="2:10">
      <c r="B27" s="41"/>
      <c r="E27" s="17"/>
      <c r="G27" s="10">
        <v>1</v>
      </c>
      <c r="H27" s="10" t="s">
        <v>72</v>
      </c>
      <c r="I27" s="10" t="s">
        <v>73</v>
      </c>
      <c r="J27" s="10" t="s">
        <v>74</v>
      </c>
    </row>
    <row r="28" spans="2:10">
      <c r="B28" s="41"/>
      <c r="E28" s="17"/>
      <c r="G28" s="10">
        <v>2</v>
      </c>
      <c r="H28" s="10" t="s">
        <v>70</v>
      </c>
      <c r="I28" s="10" t="s">
        <v>71</v>
      </c>
      <c r="J28" s="10" t="s">
        <v>86</v>
      </c>
    </row>
    <row r="29" spans="2:10">
      <c r="B29" s="41"/>
      <c r="E29" s="17"/>
      <c r="G29" s="10">
        <v>3</v>
      </c>
      <c r="H29" s="10" t="s">
        <v>75</v>
      </c>
      <c r="I29" s="10" t="s">
        <v>76</v>
      </c>
      <c r="J29" s="10" t="s">
        <v>87</v>
      </c>
    </row>
    <row r="30" spans="2:10">
      <c r="B30" s="41"/>
      <c r="E30" s="17"/>
      <c r="G30" s="10">
        <v>4</v>
      </c>
      <c r="H30" s="10" t="s">
        <v>67</v>
      </c>
      <c r="I30" s="10" t="s">
        <v>68</v>
      </c>
      <c r="J30" s="10" t="s">
        <v>69</v>
      </c>
    </row>
    <row r="31" spans="2:10">
      <c r="B31" s="41"/>
      <c r="E31" s="17"/>
      <c r="G31" s="10">
        <v>5</v>
      </c>
      <c r="H31" s="10" t="s">
        <v>77</v>
      </c>
      <c r="I31" s="10" t="s">
        <v>78</v>
      </c>
      <c r="J31" s="10" t="s">
        <v>79</v>
      </c>
    </row>
    <row r="32" spans="2:10">
      <c r="B32" s="41"/>
      <c r="E32" s="17"/>
      <c r="G32" s="10">
        <v>6</v>
      </c>
      <c r="H32" s="10" t="s">
        <v>83</v>
      </c>
      <c r="I32" s="10" t="s">
        <v>84</v>
      </c>
      <c r="J32" s="10" t="s">
        <v>85</v>
      </c>
    </row>
    <row r="33" spans="1:44">
      <c r="A33" s="9"/>
      <c r="B33" s="8"/>
      <c r="C33" s="24"/>
      <c r="D33" s="9"/>
      <c r="E33" s="21"/>
      <c r="F33" s="23"/>
      <c r="G33" s="9">
        <v>7</v>
      </c>
      <c r="H33" s="9" t="s">
        <v>80</v>
      </c>
      <c r="I33" s="9" t="s">
        <v>81</v>
      </c>
      <c r="J33" s="9" t="s">
        <v>82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>
      <c r="A34" s="22" t="s">
        <v>270</v>
      </c>
      <c r="B34" s="41" t="str">
        <f>CONCATENATE("chr:",C34, ":", D34)</f>
        <v>chr:16:3198969</v>
      </c>
      <c r="C34" s="19">
        <v>16</v>
      </c>
      <c r="D34" s="10">
        <v>3198969</v>
      </c>
      <c r="E34" s="17">
        <v>1.051205E-11</v>
      </c>
      <c r="F34" s="18">
        <v>0.52743110000000004</v>
      </c>
      <c r="G34" s="22" t="s">
        <v>3</v>
      </c>
    </row>
    <row r="35" spans="1:44">
      <c r="B35" s="41"/>
      <c r="E35" s="17"/>
      <c r="G35" s="10">
        <v>1</v>
      </c>
      <c r="H35" s="10" t="s">
        <v>101</v>
      </c>
      <c r="I35" s="10" t="s">
        <v>102</v>
      </c>
      <c r="J35" s="10" t="s">
        <v>103</v>
      </c>
    </row>
    <row r="36" spans="1:44">
      <c r="B36" s="41"/>
      <c r="E36" s="17"/>
      <c r="G36" s="10">
        <v>2</v>
      </c>
      <c r="H36" s="10" t="s">
        <v>121</v>
      </c>
      <c r="I36" s="10" t="s">
        <v>122</v>
      </c>
      <c r="J36" s="10" t="s">
        <v>129</v>
      </c>
    </row>
    <row r="37" spans="1:44">
      <c r="B37" s="41"/>
      <c r="E37" s="17"/>
      <c r="G37" s="10">
        <v>3</v>
      </c>
      <c r="H37" s="10" t="s">
        <v>105</v>
      </c>
      <c r="I37" s="10" t="s">
        <v>106</v>
      </c>
      <c r="J37" s="10" t="s">
        <v>131</v>
      </c>
    </row>
    <row r="38" spans="1:44">
      <c r="B38" s="41"/>
      <c r="E38" s="17"/>
      <c r="G38" s="10">
        <v>4</v>
      </c>
      <c r="H38" s="10" t="s">
        <v>92</v>
      </c>
      <c r="I38" s="10" t="s">
        <v>93</v>
      </c>
      <c r="J38" s="10" t="s">
        <v>104</v>
      </c>
    </row>
    <row r="39" spans="1:44">
      <c r="B39" s="41"/>
      <c r="E39" s="17"/>
      <c r="G39" s="10">
        <v>5</v>
      </c>
      <c r="H39" s="10" t="s">
        <v>98</v>
      </c>
      <c r="I39" s="10" t="s">
        <v>99</v>
      </c>
      <c r="J39" s="10" t="s">
        <v>127</v>
      </c>
    </row>
    <row r="40" spans="1:44">
      <c r="B40" s="41"/>
      <c r="E40" s="17"/>
      <c r="G40" s="10">
        <v>6</v>
      </c>
      <c r="H40" s="10" t="s">
        <v>88</v>
      </c>
      <c r="I40" s="10" t="s">
        <v>89</v>
      </c>
      <c r="J40" s="10" t="s">
        <v>126</v>
      </c>
    </row>
    <row r="41" spans="1:44">
      <c r="B41" s="41"/>
      <c r="E41" s="17"/>
      <c r="G41" s="10">
        <v>7</v>
      </c>
      <c r="H41" s="10" t="s">
        <v>113</v>
      </c>
      <c r="I41" s="10" t="s">
        <v>114</v>
      </c>
      <c r="J41" s="10" t="s">
        <v>115</v>
      </c>
    </row>
    <row r="42" spans="1:44">
      <c r="B42" s="41"/>
      <c r="E42" s="17"/>
      <c r="G42" s="10">
        <v>8</v>
      </c>
      <c r="H42" s="10" t="s">
        <v>107</v>
      </c>
      <c r="I42" s="10" t="s">
        <v>108</v>
      </c>
      <c r="J42" s="10" t="s">
        <v>109</v>
      </c>
    </row>
    <row r="43" spans="1:44">
      <c r="B43" s="41"/>
      <c r="E43" s="17"/>
      <c r="G43" s="10">
        <v>9</v>
      </c>
      <c r="H43" s="10" t="s">
        <v>90</v>
      </c>
      <c r="I43" s="10" t="s">
        <v>91</v>
      </c>
      <c r="J43" s="10" t="s">
        <v>132</v>
      </c>
    </row>
    <row r="44" spans="1:44">
      <c r="B44" s="41"/>
      <c r="E44" s="17"/>
      <c r="G44" s="10">
        <v>10</v>
      </c>
      <c r="H44" s="10" t="s">
        <v>123</v>
      </c>
      <c r="I44" s="10" t="s">
        <v>124</v>
      </c>
      <c r="J44" s="10" t="s">
        <v>125</v>
      </c>
    </row>
    <row r="45" spans="1:44">
      <c r="B45" s="41"/>
      <c r="E45" s="17"/>
      <c r="G45" s="10">
        <v>11</v>
      </c>
      <c r="H45" s="10" t="s">
        <v>119</v>
      </c>
      <c r="I45" s="10" t="s">
        <v>120</v>
      </c>
      <c r="J45" s="10" t="s">
        <v>130</v>
      </c>
    </row>
    <row r="46" spans="1:44">
      <c r="B46" s="41"/>
      <c r="E46" s="17"/>
      <c r="G46" s="10">
        <v>12</v>
      </c>
      <c r="H46" s="10" t="s">
        <v>110</v>
      </c>
      <c r="I46" s="10" t="s">
        <v>111</v>
      </c>
      <c r="J46" s="10" t="s">
        <v>112</v>
      </c>
    </row>
    <row r="47" spans="1:44">
      <c r="B47" s="41"/>
      <c r="E47" s="17"/>
      <c r="G47" s="10">
        <v>13</v>
      </c>
      <c r="H47" s="10" t="s">
        <v>96</v>
      </c>
      <c r="I47" s="10" t="s">
        <v>97</v>
      </c>
      <c r="J47" s="10" t="s">
        <v>128</v>
      </c>
    </row>
    <row r="48" spans="1:44">
      <c r="B48" s="41"/>
      <c r="E48" s="17"/>
      <c r="G48" s="10">
        <v>14</v>
      </c>
      <c r="H48" s="10" t="s">
        <v>116</v>
      </c>
      <c r="I48" s="10" t="s">
        <v>117</v>
      </c>
      <c r="J48" s="10" t="s">
        <v>118</v>
      </c>
    </row>
    <row r="49" spans="1:58">
      <c r="A49" s="4"/>
      <c r="B49" s="7"/>
      <c r="C49" s="26"/>
      <c r="D49" s="4"/>
      <c r="E49" s="20"/>
      <c r="F49" s="25"/>
      <c r="G49" s="4">
        <v>15</v>
      </c>
      <c r="H49" s="4" t="s">
        <v>94</v>
      </c>
      <c r="I49" s="4" t="s">
        <v>95</v>
      </c>
      <c r="J49" s="4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9"/>
      <c r="AX49" s="9"/>
      <c r="AY49" s="9"/>
      <c r="AZ49" s="9"/>
      <c r="BA49" s="9"/>
      <c r="BB49" s="9"/>
      <c r="BC49" s="9"/>
      <c r="BD49" s="9"/>
      <c r="BE49" s="9"/>
      <c r="BF49" s="9"/>
    </row>
    <row r="50" spans="1:58">
      <c r="A50" s="27" t="s">
        <v>269</v>
      </c>
      <c r="B50" s="41" t="str">
        <f>CONCATENATE("chr:",C50, ":", D50)</f>
        <v>chr:9:34104417</v>
      </c>
      <c r="C50" s="31">
        <v>9</v>
      </c>
      <c r="D50" s="28">
        <v>34104417</v>
      </c>
      <c r="E50" s="29">
        <v>1.1545619999999999E-8</v>
      </c>
      <c r="F50" s="30">
        <v>0.50839840999999997</v>
      </c>
      <c r="G50" s="27" t="s">
        <v>3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spans="1:58">
      <c r="A51" s="7"/>
      <c r="B51" s="7"/>
      <c r="C51" s="26"/>
      <c r="D51" s="4"/>
      <c r="E51" s="20"/>
      <c r="F51" s="25"/>
      <c r="G51" s="10">
        <v>1</v>
      </c>
      <c r="H51" s="10" t="s">
        <v>138</v>
      </c>
      <c r="I51" s="10" t="s">
        <v>139</v>
      </c>
      <c r="J51" s="10" t="s">
        <v>147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58">
      <c r="A52" s="32"/>
      <c r="B52" s="7"/>
      <c r="C52" s="26"/>
      <c r="D52" s="4"/>
      <c r="E52" s="20"/>
      <c r="F52" s="25"/>
      <c r="G52" s="10">
        <v>2</v>
      </c>
      <c r="H52" s="10" t="s">
        <v>143</v>
      </c>
      <c r="I52" s="10" t="s">
        <v>144</v>
      </c>
      <c r="J52" s="10" t="s">
        <v>145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58">
      <c r="A53" s="32"/>
      <c r="B53" s="7"/>
      <c r="C53" s="26"/>
      <c r="D53" s="4"/>
      <c r="E53" s="20"/>
      <c r="F53" s="25"/>
      <c r="G53" s="10">
        <v>3</v>
      </c>
      <c r="H53" s="10" t="s">
        <v>148</v>
      </c>
      <c r="I53" s="10" t="s">
        <v>149</v>
      </c>
      <c r="J53" s="10" t="s">
        <v>150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58">
      <c r="A54" s="32"/>
      <c r="B54" s="7"/>
      <c r="C54" s="26"/>
      <c r="D54" s="4"/>
      <c r="E54" s="20"/>
      <c r="F54" s="25"/>
      <c r="G54" s="10">
        <v>4</v>
      </c>
      <c r="H54" s="10" t="s">
        <v>140</v>
      </c>
      <c r="I54" s="10" t="s">
        <v>141</v>
      </c>
      <c r="J54" s="10" t="s">
        <v>142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58">
      <c r="A55" s="32"/>
      <c r="B55" s="7"/>
      <c r="C55" s="26"/>
      <c r="D55" s="4"/>
      <c r="E55" s="20"/>
      <c r="F55" s="25"/>
      <c r="G55" s="10">
        <v>5</v>
      </c>
      <c r="H55" s="10" t="s">
        <v>133</v>
      </c>
      <c r="I55" s="10" t="s">
        <v>134</v>
      </c>
      <c r="J55" s="10" t="s">
        <v>146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58">
      <c r="A56" s="11"/>
      <c r="B56" s="8"/>
      <c r="C56" s="24"/>
      <c r="D56" s="9"/>
      <c r="E56" s="21"/>
      <c r="F56" s="23"/>
      <c r="G56" s="9">
        <v>6</v>
      </c>
      <c r="H56" s="9" t="s">
        <v>135</v>
      </c>
      <c r="I56" s="9" t="s">
        <v>136</v>
      </c>
      <c r="J56" s="9" t="s">
        <v>137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58">
      <c r="A57" s="22" t="s">
        <v>276</v>
      </c>
      <c r="B57" s="41" t="str">
        <f>CONCATENATE("chr:",C57, ":", D57)</f>
        <v>chr:16:3198969</v>
      </c>
      <c r="C57" s="19">
        <v>16</v>
      </c>
      <c r="D57" s="10">
        <v>3198969</v>
      </c>
      <c r="E57" s="17">
        <v>3.2049799999999999E-12</v>
      </c>
      <c r="F57" s="18">
        <v>0.54548920000000001</v>
      </c>
      <c r="G57" s="22" t="s">
        <v>3</v>
      </c>
    </row>
    <row r="58" spans="1:58">
      <c r="B58" s="41"/>
      <c r="E58" s="17"/>
      <c r="G58" s="10">
        <v>1</v>
      </c>
      <c r="H58" s="10" t="s">
        <v>101</v>
      </c>
      <c r="I58" s="10" t="s">
        <v>102</v>
      </c>
      <c r="J58" s="10" t="s">
        <v>103</v>
      </c>
    </row>
    <row r="59" spans="1:58">
      <c r="B59" s="41"/>
      <c r="E59" s="17"/>
      <c r="G59" s="10">
        <v>2</v>
      </c>
      <c r="H59" s="10" t="s">
        <v>121</v>
      </c>
      <c r="I59" s="10" t="s">
        <v>122</v>
      </c>
      <c r="J59" s="10" t="s">
        <v>129</v>
      </c>
    </row>
    <row r="60" spans="1:58">
      <c r="B60" s="41"/>
      <c r="E60" s="17"/>
      <c r="G60" s="10">
        <v>3</v>
      </c>
      <c r="H60" s="10" t="s">
        <v>105</v>
      </c>
      <c r="I60" s="10" t="s">
        <v>106</v>
      </c>
      <c r="J60" s="10" t="s">
        <v>131</v>
      </c>
    </row>
    <row r="61" spans="1:58">
      <c r="B61" s="41"/>
      <c r="E61" s="17"/>
      <c r="G61" s="10">
        <v>4</v>
      </c>
      <c r="H61" s="10" t="s">
        <v>92</v>
      </c>
      <c r="I61" s="10" t="s">
        <v>93</v>
      </c>
      <c r="J61" s="10" t="s">
        <v>104</v>
      </c>
    </row>
    <row r="62" spans="1:58">
      <c r="B62" s="41"/>
      <c r="E62" s="17"/>
      <c r="G62" s="10">
        <v>5</v>
      </c>
      <c r="H62" s="10" t="s">
        <v>98</v>
      </c>
      <c r="I62" s="10" t="s">
        <v>99</v>
      </c>
      <c r="J62" s="10" t="s">
        <v>127</v>
      </c>
    </row>
    <row r="63" spans="1:58">
      <c r="B63" s="41"/>
      <c r="E63" s="17"/>
      <c r="G63" s="10">
        <v>6</v>
      </c>
      <c r="H63" s="10" t="s">
        <v>88</v>
      </c>
      <c r="I63" s="10" t="s">
        <v>89</v>
      </c>
      <c r="J63" s="10" t="s">
        <v>126</v>
      </c>
    </row>
    <row r="64" spans="1:58">
      <c r="B64" s="41"/>
      <c r="E64" s="17"/>
      <c r="G64" s="10">
        <v>7</v>
      </c>
      <c r="H64" s="10" t="s">
        <v>113</v>
      </c>
      <c r="I64" s="10" t="s">
        <v>114</v>
      </c>
      <c r="J64" s="10" t="s">
        <v>115</v>
      </c>
    </row>
    <row r="65" spans="1:58">
      <c r="B65" s="41"/>
      <c r="E65" s="17"/>
      <c r="G65" s="10">
        <v>8</v>
      </c>
      <c r="H65" s="10" t="s">
        <v>107</v>
      </c>
      <c r="I65" s="10" t="s">
        <v>108</v>
      </c>
      <c r="J65" s="10" t="s">
        <v>109</v>
      </c>
    </row>
    <row r="66" spans="1:58">
      <c r="B66" s="41"/>
      <c r="E66" s="17"/>
      <c r="G66" s="10">
        <v>9</v>
      </c>
      <c r="H66" s="10" t="s">
        <v>90</v>
      </c>
      <c r="I66" s="10" t="s">
        <v>91</v>
      </c>
      <c r="J66" s="10" t="s">
        <v>132</v>
      </c>
    </row>
    <row r="67" spans="1:58">
      <c r="B67" s="41"/>
      <c r="E67" s="17"/>
      <c r="G67" s="10">
        <v>10</v>
      </c>
      <c r="H67" s="10" t="s">
        <v>123</v>
      </c>
      <c r="I67" s="10" t="s">
        <v>124</v>
      </c>
      <c r="J67" s="10" t="s">
        <v>125</v>
      </c>
    </row>
    <row r="68" spans="1:58">
      <c r="B68" s="41"/>
      <c r="E68" s="17"/>
      <c r="G68" s="10">
        <v>11</v>
      </c>
      <c r="H68" s="10" t="s">
        <v>119</v>
      </c>
      <c r="I68" s="10" t="s">
        <v>120</v>
      </c>
      <c r="J68" s="10" t="s">
        <v>130</v>
      </c>
    </row>
    <row r="69" spans="1:58">
      <c r="B69" s="41"/>
      <c r="E69" s="17"/>
      <c r="G69" s="10">
        <v>12</v>
      </c>
      <c r="H69" s="10" t="s">
        <v>110</v>
      </c>
      <c r="I69" s="10" t="s">
        <v>111</v>
      </c>
      <c r="J69" s="10" t="s">
        <v>112</v>
      </c>
    </row>
    <row r="70" spans="1:58">
      <c r="B70" s="41"/>
      <c r="E70" s="17"/>
      <c r="G70" s="10">
        <v>13</v>
      </c>
      <c r="H70" s="10" t="s">
        <v>96</v>
      </c>
      <c r="I70" s="10" t="s">
        <v>97</v>
      </c>
      <c r="J70" s="10" t="s">
        <v>128</v>
      </c>
    </row>
    <row r="71" spans="1:58">
      <c r="B71" s="41"/>
      <c r="E71" s="17"/>
      <c r="G71" s="10">
        <v>14</v>
      </c>
      <c r="H71" s="10" t="s">
        <v>116</v>
      </c>
      <c r="I71" s="10" t="s">
        <v>117</v>
      </c>
      <c r="J71" s="10" t="s">
        <v>118</v>
      </c>
    </row>
    <row r="72" spans="1:58">
      <c r="A72" s="9"/>
      <c r="B72" s="8"/>
      <c r="C72" s="24"/>
      <c r="D72" s="9"/>
      <c r="E72" s="21"/>
      <c r="F72" s="23"/>
      <c r="G72" s="9">
        <v>15</v>
      </c>
      <c r="H72" s="9" t="s">
        <v>94</v>
      </c>
      <c r="I72" s="9" t="s">
        <v>95</v>
      </c>
      <c r="J72" s="9" t="s">
        <v>100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</row>
    <row r="73" spans="1:58">
      <c r="A73" s="22" t="s">
        <v>275</v>
      </c>
      <c r="B73" s="41" t="str">
        <f>CONCATENATE("chr:",C73, ":", D73)</f>
        <v>chr:16:3265222</v>
      </c>
      <c r="C73" s="19">
        <v>16</v>
      </c>
      <c r="D73" s="10">
        <v>3265222</v>
      </c>
      <c r="E73" s="17">
        <v>1.860116E-8</v>
      </c>
      <c r="F73" s="18">
        <v>0.52535310000000002</v>
      </c>
      <c r="G73" s="22" t="s">
        <v>3</v>
      </c>
    </row>
    <row r="74" spans="1:58">
      <c r="B74" s="41"/>
      <c r="E74" s="17"/>
      <c r="G74" s="4">
        <v>1</v>
      </c>
      <c r="H74" s="10" t="s">
        <v>110</v>
      </c>
      <c r="I74" s="10" t="s">
        <v>111</v>
      </c>
      <c r="J74" s="10" t="s">
        <v>112</v>
      </c>
    </row>
    <row r="75" spans="1:58">
      <c r="B75" s="41"/>
      <c r="E75" s="17"/>
      <c r="G75" s="4">
        <v>2</v>
      </c>
      <c r="H75" s="10" t="s">
        <v>96</v>
      </c>
      <c r="I75" s="10" t="s">
        <v>97</v>
      </c>
      <c r="J75" s="10" t="s">
        <v>128</v>
      </c>
    </row>
    <row r="76" spans="1:58">
      <c r="B76" s="41"/>
      <c r="E76" s="17"/>
      <c r="G76" s="4">
        <v>3</v>
      </c>
      <c r="H76" s="10" t="s">
        <v>116</v>
      </c>
      <c r="I76" s="10" t="s">
        <v>117</v>
      </c>
      <c r="J76" s="10" t="s">
        <v>118</v>
      </c>
    </row>
    <row r="77" spans="1:58">
      <c r="B77" s="41"/>
      <c r="E77" s="17"/>
      <c r="G77" s="4">
        <v>4</v>
      </c>
      <c r="H77" s="10" t="s">
        <v>94</v>
      </c>
      <c r="I77" s="10" t="s">
        <v>95</v>
      </c>
      <c r="J77" s="10" t="s">
        <v>100</v>
      </c>
    </row>
    <row r="78" spans="1:58">
      <c r="B78" s="41"/>
      <c r="E78" s="17"/>
      <c r="G78" s="4">
        <v>5</v>
      </c>
      <c r="H78" s="10" t="s">
        <v>159</v>
      </c>
      <c r="I78" s="10" t="s">
        <v>160</v>
      </c>
      <c r="J78" s="10" t="s">
        <v>170</v>
      </c>
    </row>
    <row r="79" spans="1:58">
      <c r="B79" s="41"/>
      <c r="E79" s="17"/>
      <c r="G79" s="4">
        <v>6</v>
      </c>
      <c r="H79" s="10" t="s">
        <v>165</v>
      </c>
      <c r="I79" s="10" t="s">
        <v>166</v>
      </c>
      <c r="J79" s="10" t="s">
        <v>167</v>
      </c>
    </row>
    <row r="80" spans="1:58">
      <c r="B80" s="41"/>
      <c r="E80" s="17"/>
      <c r="G80" s="4">
        <v>7</v>
      </c>
      <c r="H80" s="10" t="s">
        <v>153</v>
      </c>
      <c r="I80" s="10" t="s">
        <v>154</v>
      </c>
      <c r="J80" s="10" t="s">
        <v>155</v>
      </c>
    </row>
    <row r="81" spans="1:45">
      <c r="B81" s="41"/>
      <c r="E81" s="17"/>
      <c r="G81" s="4">
        <v>8</v>
      </c>
      <c r="H81" s="10" t="s">
        <v>161</v>
      </c>
      <c r="I81" s="10" t="s">
        <v>162</v>
      </c>
      <c r="J81" s="10" t="s">
        <v>168</v>
      </c>
    </row>
    <row r="82" spans="1:45">
      <c r="B82" s="41"/>
      <c r="E82" s="17"/>
      <c r="G82" s="4">
        <v>9</v>
      </c>
      <c r="H82" s="10" t="s">
        <v>156</v>
      </c>
      <c r="I82" s="10" t="s">
        <v>157</v>
      </c>
      <c r="J82" s="10" t="s">
        <v>158</v>
      </c>
    </row>
    <row r="83" spans="1:45">
      <c r="B83" s="41"/>
      <c r="E83" s="17"/>
      <c r="G83" s="4">
        <v>10</v>
      </c>
      <c r="H83" s="10" t="s">
        <v>171</v>
      </c>
      <c r="I83" s="10" t="s">
        <v>172</v>
      </c>
      <c r="J83" s="10" t="s">
        <v>87</v>
      </c>
    </row>
    <row r="84" spans="1:45">
      <c r="B84" s="41"/>
      <c r="E84" s="17"/>
      <c r="G84" s="4">
        <v>11</v>
      </c>
      <c r="H84" s="10" t="s">
        <v>151</v>
      </c>
      <c r="I84" s="10" t="s">
        <v>152</v>
      </c>
      <c r="J84" s="10" t="s">
        <v>173</v>
      </c>
    </row>
    <row r="85" spans="1:45">
      <c r="B85" s="41"/>
      <c r="E85" s="17"/>
      <c r="G85" s="4">
        <v>12</v>
      </c>
      <c r="H85" s="10" t="s">
        <v>163</v>
      </c>
      <c r="I85" s="10" t="s">
        <v>164</v>
      </c>
      <c r="J85" s="10" t="s">
        <v>169</v>
      </c>
    </row>
    <row r="86" spans="1:45">
      <c r="B86" s="41" t="str">
        <f>CONCATENATE("chr:",C86, ":", D86)</f>
        <v>chr:10:20867758</v>
      </c>
      <c r="C86" s="19">
        <v>10</v>
      </c>
      <c r="D86" s="10">
        <v>20867758</v>
      </c>
      <c r="E86" s="17">
        <v>3.8848499999999997E-7</v>
      </c>
      <c r="F86" s="18">
        <v>0.61922219999999994</v>
      </c>
      <c r="G86" s="22" t="s">
        <v>3</v>
      </c>
    </row>
    <row r="87" spans="1:45">
      <c r="B87" s="41"/>
      <c r="E87" s="17"/>
      <c r="G87" s="10">
        <v>1</v>
      </c>
      <c r="H87" s="10" t="s">
        <v>174</v>
      </c>
      <c r="I87" s="10" t="s">
        <v>175</v>
      </c>
      <c r="J87" s="10" t="s">
        <v>176</v>
      </c>
    </row>
    <row r="88" spans="1:45">
      <c r="B88" s="41"/>
      <c r="E88" s="17"/>
      <c r="G88" s="10">
        <v>2</v>
      </c>
      <c r="H88" s="10" t="s">
        <v>190</v>
      </c>
      <c r="I88" s="10" t="s">
        <v>191</v>
      </c>
      <c r="J88" s="10" t="s">
        <v>199</v>
      </c>
    </row>
    <row r="89" spans="1:45">
      <c r="B89" s="41"/>
      <c r="E89" s="17"/>
      <c r="G89" s="10">
        <v>3</v>
      </c>
      <c r="H89" s="10" t="s">
        <v>183</v>
      </c>
      <c r="I89" s="10" t="s">
        <v>184</v>
      </c>
      <c r="J89" s="10" t="s">
        <v>185</v>
      </c>
    </row>
    <row r="90" spans="1:45">
      <c r="B90" s="41"/>
      <c r="E90" s="17"/>
      <c r="G90" s="10">
        <v>4</v>
      </c>
      <c r="H90" s="10" t="s">
        <v>177</v>
      </c>
      <c r="I90" s="10" t="s">
        <v>178</v>
      </c>
      <c r="J90" s="10" t="s">
        <v>179</v>
      </c>
    </row>
    <row r="91" spans="1:45">
      <c r="B91" s="41"/>
      <c r="E91" s="17"/>
      <c r="G91" s="10">
        <v>5</v>
      </c>
      <c r="H91" s="10" t="s">
        <v>193</v>
      </c>
      <c r="I91" s="10" t="s">
        <v>194</v>
      </c>
      <c r="J91" s="10" t="s">
        <v>195</v>
      </c>
    </row>
    <row r="92" spans="1:45">
      <c r="B92" s="41"/>
      <c r="E92" s="17"/>
      <c r="G92" s="10">
        <v>6</v>
      </c>
      <c r="H92" s="10" t="s">
        <v>196</v>
      </c>
      <c r="I92" s="10" t="s">
        <v>197</v>
      </c>
      <c r="J92" s="10" t="s">
        <v>198</v>
      </c>
    </row>
    <row r="93" spans="1:45">
      <c r="B93" s="41"/>
      <c r="E93" s="17"/>
      <c r="G93" s="10">
        <v>7</v>
      </c>
      <c r="H93" s="10" t="s">
        <v>186</v>
      </c>
      <c r="I93" s="10" t="s">
        <v>187</v>
      </c>
      <c r="J93" s="10" t="s">
        <v>192</v>
      </c>
    </row>
    <row r="94" spans="1:45">
      <c r="B94" s="41"/>
      <c r="E94" s="17"/>
      <c r="G94" s="10">
        <v>8</v>
      </c>
      <c r="H94" s="10" t="s">
        <v>180</v>
      </c>
      <c r="I94" s="10" t="s">
        <v>181</v>
      </c>
      <c r="J94" s="10" t="s">
        <v>182</v>
      </c>
    </row>
    <row r="95" spans="1:45">
      <c r="A95" s="9"/>
      <c r="B95" s="8"/>
      <c r="C95" s="24"/>
      <c r="D95" s="9"/>
      <c r="E95" s="21"/>
      <c r="F95" s="23"/>
      <c r="G95" s="9">
        <v>9</v>
      </c>
      <c r="H95" s="9" t="s">
        <v>188</v>
      </c>
      <c r="I95" s="9" t="s">
        <v>189</v>
      </c>
      <c r="J95" s="9" t="s">
        <v>200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1:45">
      <c r="A96" s="22" t="s">
        <v>279</v>
      </c>
      <c r="B96" s="41" t="str">
        <f>CONCATENATE("chr:",C96, ":", D96)</f>
        <v>chr:16:3255715</v>
      </c>
      <c r="C96" s="19">
        <v>16</v>
      </c>
      <c r="D96" s="10">
        <v>3255715</v>
      </c>
      <c r="E96" s="17">
        <v>2.7449709999999998E-6</v>
      </c>
      <c r="G96" s="22" t="s">
        <v>3</v>
      </c>
    </row>
    <row r="97" spans="1:50">
      <c r="B97" s="41"/>
      <c r="E97" s="17"/>
      <c r="G97" s="10">
        <v>1</v>
      </c>
      <c r="H97" s="10" t="s">
        <v>119</v>
      </c>
      <c r="I97" s="10" t="s">
        <v>120</v>
      </c>
      <c r="J97" s="10" t="s">
        <v>130</v>
      </c>
    </row>
    <row r="98" spans="1:50">
      <c r="B98" s="41"/>
      <c r="E98" s="17"/>
      <c r="G98" s="10">
        <v>2</v>
      </c>
      <c r="H98" s="10" t="s">
        <v>110</v>
      </c>
      <c r="I98" s="10" t="s">
        <v>111</v>
      </c>
      <c r="J98" s="10" t="s">
        <v>112</v>
      </c>
    </row>
    <row r="99" spans="1:50">
      <c r="B99" s="41"/>
      <c r="E99" s="17"/>
      <c r="G99" s="10">
        <v>3</v>
      </c>
      <c r="H99" s="10" t="s">
        <v>96</v>
      </c>
      <c r="I99" s="10" t="s">
        <v>97</v>
      </c>
      <c r="J99" s="10" t="s">
        <v>128</v>
      </c>
    </row>
    <row r="100" spans="1:50">
      <c r="B100" s="41"/>
      <c r="E100" s="17"/>
      <c r="G100" s="10">
        <v>4</v>
      </c>
      <c r="H100" s="10" t="s">
        <v>116</v>
      </c>
      <c r="I100" s="10" t="s">
        <v>117</v>
      </c>
      <c r="J100" s="10" t="s">
        <v>118</v>
      </c>
    </row>
    <row r="101" spans="1:50">
      <c r="B101" s="41"/>
      <c r="E101" s="17"/>
      <c r="G101" s="10">
        <v>5</v>
      </c>
      <c r="H101" s="10" t="s">
        <v>94</v>
      </c>
      <c r="I101" s="10" t="s">
        <v>95</v>
      </c>
      <c r="J101" s="10" t="s">
        <v>100</v>
      </c>
    </row>
    <row r="102" spans="1:50">
      <c r="B102" s="41"/>
      <c r="E102" s="17"/>
      <c r="G102" s="10">
        <v>6</v>
      </c>
      <c r="H102" s="10" t="s">
        <v>159</v>
      </c>
      <c r="I102" s="10" t="s">
        <v>160</v>
      </c>
      <c r="J102" s="10" t="s">
        <v>170</v>
      </c>
    </row>
    <row r="103" spans="1:50">
      <c r="B103" s="41"/>
      <c r="E103" s="17"/>
      <c r="G103" s="10">
        <v>7</v>
      </c>
      <c r="H103" s="10" t="s">
        <v>165</v>
      </c>
      <c r="I103" s="10" t="s">
        <v>166</v>
      </c>
      <c r="J103" s="10" t="s">
        <v>167</v>
      </c>
    </row>
    <row r="104" spans="1:50">
      <c r="B104" s="41"/>
      <c r="E104" s="17"/>
      <c r="G104" s="10">
        <v>8</v>
      </c>
      <c r="H104" s="10" t="s">
        <v>153</v>
      </c>
      <c r="I104" s="10" t="s">
        <v>154</v>
      </c>
      <c r="J104" s="10" t="s">
        <v>155</v>
      </c>
    </row>
    <row r="105" spans="1:50">
      <c r="B105" s="41"/>
      <c r="E105" s="17"/>
      <c r="G105" s="10">
        <v>9</v>
      </c>
      <c r="H105" s="10" t="s">
        <v>161</v>
      </c>
      <c r="I105" s="10" t="s">
        <v>162</v>
      </c>
      <c r="J105" s="10" t="s">
        <v>168</v>
      </c>
    </row>
    <row r="106" spans="1:50">
      <c r="B106" s="41"/>
      <c r="E106" s="17"/>
      <c r="G106" s="10">
        <v>10</v>
      </c>
      <c r="H106" s="10" t="s">
        <v>156</v>
      </c>
      <c r="I106" s="10" t="s">
        <v>157</v>
      </c>
      <c r="J106" s="10" t="s">
        <v>158</v>
      </c>
    </row>
    <row r="107" spans="1:50">
      <c r="B107" s="41"/>
      <c r="E107" s="17"/>
      <c r="G107" s="10">
        <v>11</v>
      </c>
      <c r="H107" s="10" t="s">
        <v>171</v>
      </c>
      <c r="I107" s="10" t="s">
        <v>172</v>
      </c>
      <c r="J107" s="10" t="s">
        <v>87</v>
      </c>
    </row>
    <row r="108" spans="1:50">
      <c r="A108" s="9"/>
      <c r="B108" s="8"/>
      <c r="C108" s="24"/>
      <c r="D108" s="9"/>
      <c r="E108" s="21"/>
      <c r="F108" s="23"/>
      <c r="G108" s="9">
        <v>12</v>
      </c>
      <c r="H108" s="9" t="s">
        <v>151</v>
      </c>
      <c r="I108" s="9" t="s">
        <v>152</v>
      </c>
      <c r="J108" s="9" t="s">
        <v>173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>
      <c r="A109" s="22" t="s">
        <v>280</v>
      </c>
      <c r="B109" s="41" t="str">
        <f>CONCATENATE("chr:",C109, ":", D109)</f>
        <v>chr:16:3198969</v>
      </c>
      <c r="C109" s="19">
        <v>16</v>
      </c>
      <c r="D109" s="10">
        <v>3198969</v>
      </c>
      <c r="E109" s="17">
        <v>5.2349519999999998E-9</v>
      </c>
      <c r="F109" s="18">
        <v>0.41103514000000002</v>
      </c>
      <c r="G109" s="22" t="s">
        <v>3</v>
      </c>
    </row>
    <row r="110" spans="1:50">
      <c r="B110" s="41"/>
      <c r="E110" s="17"/>
      <c r="G110" s="10">
        <v>1</v>
      </c>
      <c r="H110" s="10" t="s">
        <v>101</v>
      </c>
      <c r="I110" s="10" t="s">
        <v>102</v>
      </c>
      <c r="J110" s="10" t="s">
        <v>103</v>
      </c>
    </row>
    <row r="111" spans="1:50">
      <c r="B111" s="41"/>
      <c r="E111" s="17"/>
      <c r="G111" s="10">
        <v>2</v>
      </c>
      <c r="H111" s="10" t="s">
        <v>121</v>
      </c>
      <c r="I111" s="10" t="s">
        <v>122</v>
      </c>
      <c r="J111" s="10" t="s">
        <v>129</v>
      </c>
    </row>
    <row r="112" spans="1:50">
      <c r="B112" s="41"/>
      <c r="E112" s="17"/>
      <c r="G112" s="10">
        <v>3</v>
      </c>
      <c r="H112" s="10" t="s">
        <v>105</v>
      </c>
      <c r="I112" s="10" t="s">
        <v>106</v>
      </c>
      <c r="J112" s="10" t="s">
        <v>131</v>
      </c>
    </row>
    <row r="113" spans="1:58">
      <c r="B113" s="41"/>
      <c r="E113" s="17"/>
      <c r="G113" s="10">
        <v>4</v>
      </c>
      <c r="H113" s="10" t="s">
        <v>92</v>
      </c>
      <c r="I113" s="10" t="s">
        <v>93</v>
      </c>
      <c r="J113" s="10" t="s">
        <v>104</v>
      </c>
    </row>
    <row r="114" spans="1:58">
      <c r="B114" s="41"/>
      <c r="E114" s="17"/>
      <c r="G114" s="10">
        <v>5</v>
      </c>
      <c r="H114" s="10" t="s">
        <v>98</v>
      </c>
      <c r="I114" s="10" t="s">
        <v>99</v>
      </c>
      <c r="J114" s="10" t="s">
        <v>127</v>
      </c>
    </row>
    <row r="115" spans="1:58">
      <c r="B115" s="41"/>
      <c r="E115" s="17"/>
      <c r="G115" s="10">
        <v>6</v>
      </c>
      <c r="H115" s="10" t="s">
        <v>88</v>
      </c>
      <c r="I115" s="10" t="s">
        <v>89</v>
      </c>
      <c r="J115" s="10" t="s">
        <v>126</v>
      </c>
    </row>
    <row r="116" spans="1:58">
      <c r="B116" s="41"/>
      <c r="E116" s="17"/>
      <c r="G116" s="10">
        <v>7</v>
      </c>
      <c r="H116" s="10" t="s">
        <v>113</v>
      </c>
      <c r="I116" s="10" t="s">
        <v>114</v>
      </c>
      <c r="J116" s="10" t="s">
        <v>115</v>
      </c>
    </row>
    <row r="117" spans="1:58">
      <c r="B117" s="41"/>
      <c r="E117" s="17"/>
      <c r="G117" s="10">
        <v>8</v>
      </c>
      <c r="H117" s="10" t="s">
        <v>107</v>
      </c>
      <c r="I117" s="10" t="s">
        <v>108</v>
      </c>
      <c r="J117" s="10" t="s">
        <v>109</v>
      </c>
    </row>
    <row r="118" spans="1:58">
      <c r="B118" s="41"/>
      <c r="E118" s="17"/>
      <c r="G118" s="10">
        <v>9</v>
      </c>
      <c r="H118" s="10" t="s">
        <v>90</v>
      </c>
      <c r="I118" s="10" t="s">
        <v>91</v>
      </c>
      <c r="J118" s="10" t="s">
        <v>132</v>
      </c>
    </row>
    <row r="119" spans="1:58">
      <c r="B119" s="41"/>
      <c r="E119" s="17"/>
      <c r="G119" s="10">
        <v>10</v>
      </c>
      <c r="H119" s="10" t="s">
        <v>123</v>
      </c>
      <c r="I119" s="10" t="s">
        <v>124</v>
      </c>
      <c r="J119" s="10" t="s">
        <v>125</v>
      </c>
    </row>
    <row r="120" spans="1:58">
      <c r="B120" s="41"/>
      <c r="E120" s="17"/>
      <c r="G120" s="10">
        <v>11</v>
      </c>
      <c r="H120" s="10" t="s">
        <v>119</v>
      </c>
      <c r="I120" s="10" t="s">
        <v>120</v>
      </c>
      <c r="J120" s="10" t="s">
        <v>130</v>
      </c>
    </row>
    <row r="121" spans="1:58">
      <c r="B121" s="41"/>
      <c r="E121" s="17"/>
      <c r="G121" s="10">
        <v>12</v>
      </c>
      <c r="H121" s="10" t="s">
        <v>110</v>
      </c>
      <c r="I121" s="10" t="s">
        <v>111</v>
      </c>
      <c r="J121" s="10" t="s">
        <v>112</v>
      </c>
    </row>
    <row r="122" spans="1:58">
      <c r="B122" s="41"/>
      <c r="E122" s="17"/>
      <c r="G122" s="10">
        <v>13</v>
      </c>
      <c r="H122" s="10" t="s">
        <v>96</v>
      </c>
      <c r="I122" s="10" t="s">
        <v>97</v>
      </c>
      <c r="J122" s="10" t="s">
        <v>128</v>
      </c>
    </row>
    <row r="123" spans="1:58">
      <c r="B123" s="41"/>
      <c r="E123" s="17"/>
      <c r="G123" s="10">
        <v>14</v>
      </c>
      <c r="H123" s="10" t="s">
        <v>116</v>
      </c>
      <c r="I123" s="10" t="s">
        <v>117</v>
      </c>
      <c r="J123" s="10" t="s">
        <v>118</v>
      </c>
    </row>
    <row r="124" spans="1:58">
      <c r="A124" s="9"/>
      <c r="B124" s="8"/>
      <c r="C124" s="24"/>
      <c r="D124" s="9"/>
      <c r="E124" s="21"/>
      <c r="F124" s="23"/>
      <c r="G124" s="9">
        <v>15</v>
      </c>
      <c r="H124" s="9" t="s">
        <v>94</v>
      </c>
      <c r="I124" s="9" t="s">
        <v>95</v>
      </c>
      <c r="J124" s="9" t="s">
        <v>100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58">
      <c r="A125" s="22" t="s">
        <v>281</v>
      </c>
      <c r="B125" s="41" t="str">
        <f>CONCATENATE("chr:",C125, ":", D125)</f>
        <v>chr:16:3198969</v>
      </c>
      <c r="C125" s="19">
        <v>16</v>
      </c>
      <c r="D125" s="10">
        <v>3198969</v>
      </c>
      <c r="E125" s="17">
        <v>1.7830729999999999E-10</v>
      </c>
      <c r="F125" s="18">
        <v>0.58045630000000004</v>
      </c>
      <c r="G125" s="33" t="s">
        <v>3</v>
      </c>
      <c r="H125" s="33"/>
      <c r="I125" s="34"/>
      <c r="J125" s="34"/>
    </row>
    <row r="126" spans="1:58">
      <c r="B126" s="41"/>
      <c r="E126" s="17"/>
      <c r="G126" s="34">
        <v>1</v>
      </c>
      <c r="H126" s="34" t="s">
        <v>101</v>
      </c>
      <c r="I126" s="34" t="s">
        <v>102</v>
      </c>
      <c r="J126" s="34" t="s">
        <v>103</v>
      </c>
    </row>
    <row r="127" spans="1:58">
      <c r="B127" s="41"/>
      <c r="E127" s="17"/>
      <c r="G127" s="34">
        <v>2</v>
      </c>
      <c r="H127" s="34" t="s">
        <v>121</v>
      </c>
      <c r="I127" s="34" t="s">
        <v>122</v>
      </c>
      <c r="J127" s="34" t="s">
        <v>129</v>
      </c>
    </row>
    <row r="128" spans="1:58">
      <c r="B128" s="41"/>
      <c r="E128" s="17"/>
      <c r="G128" s="34">
        <v>3</v>
      </c>
      <c r="H128" s="34" t="s">
        <v>105</v>
      </c>
      <c r="I128" s="34" t="s">
        <v>106</v>
      </c>
      <c r="J128" s="34" t="s">
        <v>131</v>
      </c>
    </row>
    <row r="129" spans="1:58">
      <c r="B129" s="41"/>
      <c r="E129" s="17"/>
      <c r="G129" s="34">
        <v>4</v>
      </c>
      <c r="H129" s="34" t="s">
        <v>92</v>
      </c>
      <c r="I129" s="34" t="s">
        <v>93</v>
      </c>
      <c r="J129" s="34" t="s">
        <v>104</v>
      </c>
    </row>
    <row r="130" spans="1:58">
      <c r="B130" s="41"/>
      <c r="E130" s="17"/>
      <c r="G130" s="34">
        <v>5</v>
      </c>
      <c r="H130" s="34" t="s">
        <v>98</v>
      </c>
      <c r="I130" s="34" t="s">
        <v>99</v>
      </c>
      <c r="J130" s="34" t="s">
        <v>127</v>
      </c>
    </row>
    <row r="131" spans="1:58">
      <c r="B131" s="41"/>
      <c r="E131" s="17"/>
      <c r="G131" s="34">
        <v>6</v>
      </c>
      <c r="H131" s="34" t="s">
        <v>88</v>
      </c>
      <c r="I131" s="34" t="s">
        <v>89</v>
      </c>
      <c r="J131" s="34" t="s">
        <v>126</v>
      </c>
    </row>
    <row r="132" spans="1:58">
      <c r="B132" s="41"/>
      <c r="E132" s="17"/>
      <c r="G132" s="34">
        <v>7</v>
      </c>
      <c r="H132" s="34" t="s">
        <v>113</v>
      </c>
      <c r="I132" s="34" t="s">
        <v>114</v>
      </c>
      <c r="J132" s="34" t="s">
        <v>115</v>
      </c>
    </row>
    <row r="133" spans="1:58">
      <c r="B133" s="41"/>
      <c r="E133" s="17"/>
      <c r="G133" s="34">
        <v>8</v>
      </c>
      <c r="H133" s="34" t="s">
        <v>107</v>
      </c>
      <c r="I133" s="34" t="s">
        <v>108</v>
      </c>
      <c r="J133" s="34" t="s">
        <v>109</v>
      </c>
    </row>
    <row r="134" spans="1:58">
      <c r="B134" s="41"/>
      <c r="E134" s="17"/>
      <c r="G134" s="34">
        <v>9</v>
      </c>
      <c r="H134" s="34" t="s">
        <v>90</v>
      </c>
      <c r="I134" s="34" t="s">
        <v>91</v>
      </c>
      <c r="J134" s="34" t="s">
        <v>132</v>
      </c>
    </row>
    <row r="135" spans="1:58">
      <c r="B135" s="41"/>
      <c r="E135" s="17"/>
      <c r="G135" s="34">
        <v>10</v>
      </c>
      <c r="H135" s="34" t="s">
        <v>123</v>
      </c>
      <c r="I135" s="34" t="s">
        <v>124</v>
      </c>
      <c r="J135" s="34" t="s">
        <v>125</v>
      </c>
    </row>
    <row r="136" spans="1:58">
      <c r="B136" s="41"/>
      <c r="E136" s="17"/>
      <c r="G136" s="34">
        <v>11</v>
      </c>
      <c r="H136" s="34" t="s">
        <v>119</v>
      </c>
      <c r="I136" s="34" t="s">
        <v>120</v>
      </c>
      <c r="J136" s="34" t="s">
        <v>130</v>
      </c>
    </row>
    <row r="137" spans="1:58">
      <c r="B137" s="41"/>
      <c r="E137" s="17"/>
      <c r="G137" s="34">
        <v>12</v>
      </c>
      <c r="H137" s="34" t="s">
        <v>110</v>
      </c>
      <c r="I137" s="34" t="s">
        <v>111</v>
      </c>
      <c r="J137" s="34" t="s">
        <v>112</v>
      </c>
    </row>
    <row r="138" spans="1:58">
      <c r="B138" s="41"/>
      <c r="E138" s="17"/>
      <c r="G138" s="34">
        <v>13</v>
      </c>
      <c r="H138" s="34" t="s">
        <v>96</v>
      </c>
      <c r="I138" s="34" t="s">
        <v>97</v>
      </c>
      <c r="J138" s="34" t="s">
        <v>128</v>
      </c>
    </row>
    <row r="139" spans="1:58">
      <c r="B139" s="41"/>
      <c r="E139" s="17"/>
      <c r="G139" s="34">
        <v>14</v>
      </c>
      <c r="H139" s="34" t="s">
        <v>116</v>
      </c>
      <c r="I139" s="34" t="s">
        <v>117</v>
      </c>
      <c r="J139" s="34" t="s">
        <v>118</v>
      </c>
    </row>
    <row r="140" spans="1:58">
      <c r="A140" s="9"/>
      <c r="B140" s="8"/>
      <c r="C140" s="24"/>
      <c r="D140" s="9"/>
      <c r="E140" s="21"/>
      <c r="F140" s="23"/>
      <c r="G140" s="6">
        <v>15</v>
      </c>
      <c r="H140" s="6" t="s">
        <v>94</v>
      </c>
      <c r="I140" s="6" t="s">
        <v>95</v>
      </c>
      <c r="J140" s="6" t="s">
        <v>100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1:58">
      <c r="A141" s="22" t="s">
        <v>273</v>
      </c>
      <c r="B141" s="41" t="str">
        <f>CONCATENATE("chr:",C141, ":", D141)</f>
        <v>chr:1:24782488</v>
      </c>
      <c r="C141" s="19">
        <v>1</v>
      </c>
      <c r="D141" s="10">
        <v>24782488</v>
      </c>
      <c r="E141" s="17">
        <v>1.243277E-7</v>
      </c>
      <c r="F141" s="18">
        <v>0.54562412999999998</v>
      </c>
      <c r="G141" s="22" t="s">
        <v>3</v>
      </c>
    </row>
    <row r="142" spans="1:58">
      <c r="B142" s="41"/>
      <c r="E142" s="17"/>
      <c r="G142" s="10">
        <v>1</v>
      </c>
      <c r="H142" s="10" t="s">
        <v>306</v>
      </c>
      <c r="I142" s="10" t="s">
        <v>307</v>
      </c>
      <c r="J142" s="10" t="s">
        <v>311</v>
      </c>
    </row>
    <row r="143" spans="1:58">
      <c r="B143" s="41"/>
      <c r="E143" s="17"/>
      <c r="G143" s="10">
        <v>2</v>
      </c>
      <c r="H143" s="10" t="s">
        <v>300</v>
      </c>
      <c r="I143" s="10" t="s">
        <v>301</v>
      </c>
      <c r="J143" s="10" t="s">
        <v>312</v>
      </c>
    </row>
    <row r="144" spans="1:58">
      <c r="B144" s="41"/>
      <c r="E144" s="17"/>
      <c r="G144" s="10">
        <v>3</v>
      </c>
      <c r="H144" s="10" t="s">
        <v>286</v>
      </c>
      <c r="I144" s="10" t="s">
        <v>287</v>
      </c>
      <c r="J144" s="10" t="s">
        <v>311</v>
      </c>
    </row>
    <row r="145" spans="1:65">
      <c r="B145" s="41"/>
      <c r="E145" s="17"/>
      <c r="G145" s="10">
        <v>4</v>
      </c>
      <c r="H145" s="10" t="s">
        <v>288</v>
      </c>
      <c r="I145" s="10" t="s">
        <v>289</v>
      </c>
      <c r="J145" s="10" t="s">
        <v>290</v>
      </c>
    </row>
    <row r="146" spans="1:65">
      <c r="B146" s="41"/>
      <c r="E146" s="17"/>
      <c r="G146" s="10">
        <v>5</v>
      </c>
      <c r="H146" s="10" t="s">
        <v>308</v>
      </c>
      <c r="I146" s="10" t="s">
        <v>309</v>
      </c>
      <c r="J146" s="10" t="s">
        <v>310</v>
      </c>
    </row>
    <row r="147" spans="1:65">
      <c r="B147" s="41"/>
      <c r="E147" s="17"/>
      <c r="G147" s="10">
        <v>6</v>
      </c>
      <c r="H147" s="10" t="s">
        <v>302</v>
      </c>
      <c r="I147" s="10" t="s">
        <v>303</v>
      </c>
      <c r="J147" s="10" t="s">
        <v>305</v>
      </c>
    </row>
    <row r="148" spans="1:65">
      <c r="B148" s="41"/>
      <c r="E148" s="17"/>
      <c r="G148" s="10">
        <v>7</v>
      </c>
      <c r="H148" s="10" t="s">
        <v>297</v>
      </c>
      <c r="I148" s="10" t="s">
        <v>298</v>
      </c>
      <c r="J148" s="10" t="s">
        <v>299</v>
      </c>
    </row>
    <row r="149" spans="1:65">
      <c r="B149" s="41"/>
      <c r="E149" s="17"/>
      <c r="G149" s="10">
        <v>8</v>
      </c>
      <c r="H149" s="10" t="s">
        <v>293</v>
      </c>
      <c r="I149" s="10" t="s">
        <v>294</v>
      </c>
      <c r="J149" s="10" t="s">
        <v>304</v>
      </c>
    </row>
    <row r="150" spans="1:65">
      <c r="B150" s="41"/>
      <c r="E150" s="17"/>
      <c r="G150" s="10">
        <v>9</v>
      </c>
      <c r="H150" s="10" t="s">
        <v>284</v>
      </c>
      <c r="I150" s="10" t="s">
        <v>285</v>
      </c>
      <c r="J150" s="10" t="s">
        <v>296</v>
      </c>
    </row>
    <row r="151" spans="1:65">
      <c r="A151" s="9"/>
      <c r="B151" s="8"/>
      <c r="C151" s="24"/>
      <c r="D151" s="9"/>
      <c r="E151" s="21"/>
      <c r="F151" s="23"/>
      <c r="G151" s="10">
        <v>10</v>
      </c>
      <c r="H151" s="10" t="s">
        <v>291</v>
      </c>
      <c r="I151" s="10" t="s">
        <v>292</v>
      </c>
      <c r="J151" s="10" t="s">
        <v>295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</row>
    <row r="152" spans="1:65">
      <c r="A152" s="35" t="s">
        <v>278</v>
      </c>
      <c r="B152" s="36" t="s">
        <v>266</v>
      </c>
      <c r="C152" s="39"/>
      <c r="D152" s="40"/>
      <c r="E152" s="37"/>
      <c r="F152" s="38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spans="1:65">
      <c r="A153" s="22" t="s">
        <v>272</v>
      </c>
      <c r="B153" s="41" t="str">
        <f>CONCATENATE("chr:",C153, ":", D153)</f>
        <v>chr:5:44871919</v>
      </c>
      <c r="C153" s="19">
        <v>5</v>
      </c>
      <c r="D153" s="10">
        <v>44871919</v>
      </c>
      <c r="E153" s="17">
        <v>2.067736E-7</v>
      </c>
      <c r="F153" s="18">
        <v>0.44293954000000002</v>
      </c>
      <c r="G153" s="22" t="s">
        <v>3</v>
      </c>
    </row>
    <row r="154" spans="1:65">
      <c r="B154" s="41"/>
      <c r="E154" s="17"/>
      <c r="G154" s="10">
        <v>1</v>
      </c>
      <c r="H154" s="10" t="s">
        <v>52</v>
      </c>
      <c r="I154" s="10" t="s">
        <v>53</v>
      </c>
      <c r="J154" s="10" t="s">
        <v>61</v>
      </c>
    </row>
    <row r="155" spans="1:65">
      <c r="B155" s="41"/>
      <c r="E155" s="17"/>
      <c r="G155" s="10">
        <v>2</v>
      </c>
      <c r="H155" s="10" t="s">
        <v>58</v>
      </c>
      <c r="I155" s="10" t="s">
        <v>59</v>
      </c>
      <c r="J155" s="10" t="s">
        <v>315</v>
      </c>
    </row>
    <row r="156" spans="1:65">
      <c r="B156" s="41"/>
      <c r="E156" s="17"/>
      <c r="G156" s="10">
        <v>3</v>
      </c>
      <c r="H156" s="10" t="s">
        <v>46</v>
      </c>
      <c r="I156" s="10" t="s">
        <v>47</v>
      </c>
      <c r="J156" s="10" t="s">
        <v>318</v>
      </c>
    </row>
    <row r="157" spans="1:65">
      <c r="B157" s="41"/>
      <c r="E157" s="17"/>
      <c r="G157" s="10">
        <v>4</v>
      </c>
      <c r="H157" s="10" t="s">
        <v>62</v>
      </c>
      <c r="I157" s="10" t="s">
        <v>63</v>
      </c>
      <c r="J157" s="10" t="s">
        <v>316</v>
      </c>
    </row>
    <row r="158" spans="1:65">
      <c r="B158" s="41"/>
      <c r="E158" s="17"/>
      <c r="G158" s="10">
        <v>5</v>
      </c>
      <c r="H158" s="10" t="s">
        <v>43</v>
      </c>
      <c r="I158" s="10" t="s">
        <v>44</v>
      </c>
      <c r="J158" s="10" t="s">
        <v>45</v>
      </c>
    </row>
    <row r="159" spans="1:65">
      <c r="B159" s="41"/>
      <c r="E159" s="17"/>
      <c r="G159" s="10">
        <v>6</v>
      </c>
      <c r="H159" s="10" t="s">
        <v>56</v>
      </c>
      <c r="I159" s="10" t="s">
        <v>57</v>
      </c>
      <c r="J159" s="10" t="s">
        <v>317</v>
      </c>
    </row>
    <row r="160" spans="1:65">
      <c r="B160" s="41"/>
      <c r="E160" s="17"/>
      <c r="G160" s="10">
        <v>7</v>
      </c>
      <c r="H160" s="10" t="s">
        <v>54</v>
      </c>
      <c r="I160" s="10" t="s">
        <v>55</v>
      </c>
      <c r="J160" s="10" t="s">
        <v>65</v>
      </c>
    </row>
    <row r="161" spans="1:58">
      <c r="B161" s="41"/>
      <c r="E161" s="17"/>
      <c r="G161" s="10">
        <v>8</v>
      </c>
      <c r="H161" s="10" t="s">
        <v>40</v>
      </c>
      <c r="I161" s="10" t="s">
        <v>41</v>
      </c>
      <c r="J161" s="10" t="s">
        <v>313</v>
      </c>
    </row>
    <row r="162" spans="1:58">
      <c r="B162" s="41"/>
      <c r="E162" s="17"/>
      <c r="G162" s="10">
        <v>9</v>
      </c>
      <c r="H162" s="10" t="s">
        <v>49</v>
      </c>
      <c r="I162" s="10" t="s">
        <v>50</v>
      </c>
      <c r="J162" s="10" t="s">
        <v>314</v>
      </c>
    </row>
    <row r="163" spans="1:58">
      <c r="A163" s="35" t="s">
        <v>282</v>
      </c>
      <c r="B163" s="36" t="s">
        <v>266</v>
      </c>
      <c r="C163" s="39"/>
      <c r="D163" s="40"/>
      <c r="E163" s="37"/>
      <c r="F163" s="38"/>
      <c r="G163" s="16"/>
      <c r="H163" s="16"/>
      <c r="I163" s="16"/>
      <c r="J163" s="16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</row>
    <row r="164" spans="1:58">
      <c r="A164" s="22" t="s">
        <v>277</v>
      </c>
      <c r="B164" s="41" t="str">
        <f>CONCATENATE("chr:",C164, ":", D164)</f>
        <v>chr:16:18329429</v>
      </c>
      <c r="C164" s="19">
        <v>16</v>
      </c>
      <c r="D164" s="10">
        <v>18329429</v>
      </c>
      <c r="E164" s="17">
        <v>9.9617750000000005E-8</v>
      </c>
      <c r="F164" s="18">
        <v>0.45818130000000001</v>
      </c>
      <c r="G164" s="22" t="s">
        <v>3</v>
      </c>
    </row>
    <row r="165" spans="1:58">
      <c r="B165" s="41"/>
      <c r="E165" s="17"/>
      <c r="G165" s="10">
        <v>1</v>
      </c>
      <c r="H165" s="10" t="s">
        <v>219</v>
      </c>
      <c r="I165" s="10" t="s">
        <v>220</v>
      </c>
      <c r="J165" s="10" t="s">
        <v>221</v>
      </c>
    </row>
    <row r="166" spans="1:58">
      <c r="B166" s="41"/>
      <c r="E166" s="17"/>
      <c r="G166" s="10">
        <v>2</v>
      </c>
      <c r="H166" s="10" t="s">
        <v>204</v>
      </c>
      <c r="I166" s="10" t="s">
        <v>205</v>
      </c>
      <c r="J166" s="10" t="s">
        <v>206</v>
      </c>
    </row>
    <row r="167" spans="1:58">
      <c r="B167" s="41"/>
      <c r="E167" s="17"/>
      <c r="G167" s="10">
        <v>3</v>
      </c>
      <c r="H167" s="10" t="s">
        <v>213</v>
      </c>
      <c r="I167" s="10" t="s">
        <v>214</v>
      </c>
      <c r="J167" s="10" t="s">
        <v>218</v>
      </c>
    </row>
    <row r="168" spans="1:58">
      <c r="B168" s="41"/>
      <c r="E168" s="17"/>
      <c r="G168" s="10">
        <v>4</v>
      </c>
      <c r="H168" s="10" t="s">
        <v>201</v>
      </c>
      <c r="I168" s="10" t="s">
        <v>202</v>
      </c>
      <c r="J168" s="10" t="s">
        <v>203</v>
      </c>
    </row>
    <row r="169" spans="1:58">
      <c r="B169" s="41"/>
      <c r="E169" s="17"/>
      <c r="G169" s="10">
        <v>5</v>
      </c>
      <c r="H169" s="10" t="s">
        <v>210</v>
      </c>
      <c r="I169" s="10" t="s">
        <v>211</v>
      </c>
      <c r="J169" s="10" t="s">
        <v>212</v>
      </c>
    </row>
    <row r="170" spans="1:58">
      <c r="B170" s="41"/>
      <c r="E170" s="17"/>
      <c r="G170" s="10">
        <v>6</v>
      </c>
      <c r="H170" s="10" t="s">
        <v>207</v>
      </c>
      <c r="I170" s="10" t="s">
        <v>208</v>
      </c>
      <c r="J170" s="10" t="s">
        <v>209</v>
      </c>
    </row>
    <row r="171" spans="1:58">
      <c r="A171" s="9"/>
      <c r="B171" s="8"/>
      <c r="C171" s="24"/>
      <c r="D171" s="9"/>
      <c r="E171" s="21"/>
      <c r="F171" s="23"/>
      <c r="G171" s="9">
        <v>7</v>
      </c>
      <c r="H171" s="9" t="s">
        <v>215</v>
      </c>
      <c r="I171" s="9" t="s">
        <v>216</v>
      </c>
      <c r="J171" s="9" t="s">
        <v>217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1:58">
      <c r="A172" s="22" t="s">
        <v>271</v>
      </c>
      <c r="B172" s="41" t="str">
        <f>CONCATENATE("chr:",C172, ":", D172)</f>
        <v>chr:17:26245411</v>
      </c>
      <c r="C172" s="19">
        <v>17</v>
      </c>
      <c r="D172" s="10">
        <v>26245411</v>
      </c>
      <c r="E172" s="17">
        <v>1.432621E-6</v>
      </c>
      <c r="F172" s="18">
        <v>0.43837915999999999</v>
      </c>
      <c r="G172" s="22" t="s">
        <v>3</v>
      </c>
    </row>
    <row r="173" spans="1:58">
      <c r="B173" s="41"/>
      <c r="E173" s="17"/>
      <c r="G173" s="10">
        <v>1</v>
      </c>
      <c r="H173" s="10" t="s">
        <v>33</v>
      </c>
      <c r="I173" s="10" t="s">
        <v>34</v>
      </c>
      <c r="J173" s="10" t="s">
        <v>37</v>
      </c>
    </row>
    <row r="174" spans="1:58">
      <c r="B174" s="41"/>
      <c r="E174" s="17"/>
      <c r="G174" s="10">
        <v>2</v>
      </c>
      <c r="H174" s="10" t="s">
        <v>26</v>
      </c>
      <c r="I174" s="10" t="s">
        <v>27</v>
      </c>
      <c r="J174" s="10" t="s">
        <v>35</v>
      </c>
    </row>
    <row r="175" spans="1:58">
      <c r="B175" s="41"/>
      <c r="E175" s="17"/>
      <c r="G175" s="10">
        <v>3</v>
      </c>
      <c r="H175" s="10" t="s">
        <v>10</v>
      </c>
      <c r="I175" s="10" t="s">
        <v>11</v>
      </c>
      <c r="J175" s="10" t="s">
        <v>36</v>
      </c>
    </row>
    <row r="176" spans="1:58">
      <c r="B176" s="41"/>
      <c r="E176" s="17"/>
      <c r="G176" s="10">
        <v>4</v>
      </c>
      <c r="H176" s="10" t="s">
        <v>14</v>
      </c>
      <c r="I176" s="10" t="s">
        <v>15</v>
      </c>
      <c r="J176" s="10" t="s">
        <v>16</v>
      </c>
    </row>
    <row r="177" spans="1:56">
      <c r="B177" s="41"/>
      <c r="E177" s="17"/>
      <c r="G177" s="10">
        <v>5</v>
      </c>
      <c r="H177" s="10" t="s">
        <v>22</v>
      </c>
      <c r="I177" s="10" t="s">
        <v>23</v>
      </c>
      <c r="J177" s="10" t="s">
        <v>24</v>
      </c>
    </row>
    <row r="178" spans="1:56">
      <c r="B178" s="41"/>
      <c r="E178" s="17"/>
      <c r="G178" s="10">
        <v>6</v>
      </c>
      <c r="H178" s="10" t="s">
        <v>4</v>
      </c>
      <c r="I178" s="10" t="s">
        <v>5</v>
      </c>
      <c r="J178" s="10" t="s">
        <v>6</v>
      </c>
    </row>
    <row r="179" spans="1:56">
      <c r="B179" s="41"/>
      <c r="E179" s="17"/>
      <c r="G179" s="10">
        <v>7</v>
      </c>
      <c r="H179" s="10" t="s">
        <v>12</v>
      </c>
      <c r="I179" s="10" t="s">
        <v>13</v>
      </c>
      <c r="J179" s="10" t="s">
        <v>25</v>
      </c>
    </row>
    <row r="180" spans="1:56">
      <c r="B180" s="41"/>
      <c r="E180" s="17"/>
      <c r="G180" s="10">
        <v>8</v>
      </c>
      <c r="H180" s="10" t="s">
        <v>19</v>
      </c>
      <c r="I180" s="10" t="s">
        <v>20</v>
      </c>
      <c r="J180" s="10" t="s">
        <v>21</v>
      </c>
    </row>
    <row r="181" spans="1:56">
      <c r="B181" s="41"/>
      <c r="E181" s="17"/>
      <c r="G181" s="10">
        <v>9</v>
      </c>
      <c r="H181" s="10" t="s">
        <v>7</v>
      </c>
      <c r="I181" s="10" t="s">
        <v>8</v>
      </c>
      <c r="J181" s="10" t="s">
        <v>9</v>
      </c>
    </row>
    <row r="182" spans="1:56">
      <c r="B182" s="41"/>
      <c r="E182" s="17"/>
      <c r="G182" s="10">
        <v>10</v>
      </c>
      <c r="H182" s="10" t="s">
        <v>17</v>
      </c>
      <c r="I182" s="10" t="s">
        <v>18</v>
      </c>
      <c r="J182" s="10" t="s">
        <v>30</v>
      </c>
    </row>
    <row r="183" spans="1:56">
      <c r="B183" s="41"/>
      <c r="E183" s="17"/>
      <c r="G183" s="10">
        <v>11</v>
      </c>
      <c r="H183" s="10" t="s">
        <v>28</v>
      </c>
      <c r="I183" s="10" t="s">
        <v>29</v>
      </c>
      <c r="J183" s="10" t="s">
        <v>39</v>
      </c>
    </row>
    <row r="184" spans="1:56">
      <c r="A184" s="9"/>
      <c r="B184" s="8"/>
      <c r="C184" s="24"/>
      <c r="D184" s="9"/>
      <c r="E184" s="21"/>
      <c r="F184" s="23"/>
      <c r="G184" s="9">
        <v>12</v>
      </c>
      <c r="H184" s="9" t="s">
        <v>31</v>
      </c>
      <c r="I184" s="9" t="s">
        <v>32</v>
      </c>
      <c r="J184" s="9" t="s">
        <v>38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</row>
    <row r="185" spans="1:56">
      <c r="A185" s="22" t="s">
        <v>283</v>
      </c>
      <c r="B185" s="41" t="str">
        <f>CONCATENATE("chr:",C185, ":", D185)</f>
        <v>chr:8:30493761</v>
      </c>
      <c r="C185" s="19">
        <v>8</v>
      </c>
      <c r="D185" s="10">
        <v>30493761</v>
      </c>
      <c r="E185" s="17">
        <v>4.5563240000000001E-14</v>
      </c>
      <c r="F185" s="18">
        <v>0.65614530000000004</v>
      </c>
      <c r="G185" s="33" t="s">
        <v>3</v>
      </c>
    </row>
    <row r="186" spans="1:56">
      <c r="B186" s="41"/>
      <c r="G186" s="5">
        <v>1</v>
      </c>
      <c r="H186" s="10" t="s">
        <v>222</v>
      </c>
      <c r="I186" s="10" t="s">
        <v>223</v>
      </c>
      <c r="J186" s="10" t="s">
        <v>224</v>
      </c>
    </row>
    <row r="187" spans="1:56">
      <c r="B187" s="41"/>
      <c r="G187" s="5">
        <v>2</v>
      </c>
      <c r="H187" s="10" t="s">
        <v>241</v>
      </c>
      <c r="I187" s="10" t="s">
        <v>242</v>
      </c>
      <c r="J187" s="10" t="s">
        <v>243</v>
      </c>
    </row>
    <row r="188" spans="1:56">
      <c r="B188" s="41"/>
      <c r="G188" s="5">
        <v>3</v>
      </c>
      <c r="H188" s="10" t="s">
        <v>249</v>
      </c>
      <c r="I188" s="10" t="s">
        <v>250</v>
      </c>
      <c r="J188" s="10" t="s">
        <v>262</v>
      </c>
    </row>
    <row r="189" spans="1:56">
      <c r="B189" s="41"/>
      <c r="G189" s="5">
        <v>4</v>
      </c>
      <c r="H189" s="10" t="s">
        <v>247</v>
      </c>
      <c r="I189" s="10" t="s">
        <v>248</v>
      </c>
      <c r="J189" s="10" t="s">
        <v>263</v>
      </c>
    </row>
    <row r="190" spans="1:56">
      <c r="B190" s="41"/>
      <c r="G190" s="5">
        <v>5</v>
      </c>
      <c r="H190" s="10" t="s">
        <v>235</v>
      </c>
      <c r="I190" s="10" t="s">
        <v>236</v>
      </c>
      <c r="J190" s="10" t="s">
        <v>224</v>
      </c>
    </row>
    <row r="191" spans="1:56">
      <c r="B191" s="41"/>
      <c r="G191" s="5">
        <v>6</v>
      </c>
      <c r="H191" s="10" t="s">
        <v>251</v>
      </c>
      <c r="I191" s="10" t="s">
        <v>252</v>
      </c>
      <c r="J191" s="10" t="s">
        <v>253</v>
      </c>
    </row>
    <row r="192" spans="1:56">
      <c r="B192" s="41"/>
      <c r="G192" s="5">
        <v>7</v>
      </c>
      <c r="H192" s="10" t="s">
        <v>233</v>
      </c>
      <c r="I192" s="10" t="s">
        <v>234</v>
      </c>
      <c r="J192" s="10" t="s">
        <v>259</v>
      </c>
    </row>
    <row r="193" spans="1:45">
      <c r="B193" s="41"/>
      <c r="G193" s="5">
        <v>8</v>
      </c>
      <c r="H193" s="10" t="s">
        <v>231</v>
      </c>
      <c r="I193" s="10" t="s">
        <v>232</v>
      </c>
      <c r="J193" s="10" t="s">
        <v>227</v>
      </c>
    </row>
    <row r="194" spans="1:45">
      <c r="B194" s="41"/>
      <c r="G194" s="5">
        <v>9</v>
      </c>
      <c r="H194" s="10" t="s">
        <v>260</v>
      </c>
      <c r="I194" s="10" t="s">
        <v>261</v>
      </c>
      <c r="J194" s="10" t="s">
        <v>264</v>
      </c>
    </row>
    <row r="195" spans="1:45">
      <c r="B195" s="41"/>
      <c r="G195" s="5">
        <v>10</v>
      </c>
      <c r="H195" s="10" t="s">
        <v>225</v>
      </c>
      <c r="I195" s="10" t="s">
        <v>226</v>
      </c>
      <c r="J195" s="10" t="s">
        <v>227</v>
      </c>
    </row>
    <row r="196" spans="1:45">
      <c r="B196" s="41"/>
      <c r="G196" s="5">
        <v>11</v>
      </c>
      <c r="H196" s="10" t="s">
        <v>244</v>
      </c>
      <c r="I196" s="10" t="s">
        <v>245</v>
      </c>
      <c r="J196" s="10" t="s">
        <v>246</v>
      </c>
    </row>
    <row r="197" spans="1:45">
      <c r="B197" s="41"/>
      <c r="G197" s="5">
        <v>12</v>
      </c>
      <c r="H197" s="10" t="s">
        <v>239</v>
      </c>
      <c r="I197" s="10" t="s">
        <v>240</v>
      </c>
      <c r="J197" s="10" t="s">
        <v>258</v>
      </c>
    </row>
    <row r="198" spans="1:45">
      <c r="B198" s="41"/>
      <c r="G198" s="5">
        <v>13</v>
      </c>
      <c r="H198" s="10" t="s">
        <v>237</v>
      </c>
      <c r="I198" s="10" t="s">
        <v>238</v>
      </c>
      <c r="J198" s="10" t="s">
        <v>257</v>
      </c>
    </row>
    <row r="199" spans="1:45">
      <c r="B199" s="41"/>
      <c r="G199" s="5">
        <v>14</v>
      </c>
      <c r="H199" s="10" t="s">
        <v>228</v>
      </c>
      <c r="I199" s="10" t="s">
        <v>229</v>
      </c>
      <c r="J199" s="10" t="s">
        <v>230</v>
      </c>
    </row>
    <row r="200" spans="1:45">
      <c r="A200" s="9"/>
      <c r="B200" s="8"/>
      <c r="C200" s="24"/>
      <c r="D200" s="9"/>
      <c r="E200" s="24"/>
      <c r="F200" s="23"/>
      <c r="G200" s="6">
        <v>15</v>
      </c>
      <c r="H200" s="9" t="s">
        <v>254</v>
      </c>
      <c r="I200" s="9" t="s">
        <v>255</v>
      </c>
      <c r="J200" s="9" t="s">
        <v>256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spans="1:45">
      <c r="A201" s="22" t="s">
        <v>274</v>
      </c>
      <c r="B201" s="41" t="str">
        <f>CONCATENATE("chr:",C201, ":", D201)</f>
        <v>chr:9:34104417</v>
      </c>
      <c r="C201" s="19">
        <v>9</v>
      </c>
      <c r="D201" s="10">
        <v>34104417</v>
      </c>
      <c r="E201" s="17">
        <v>1.451554E-7</v>
      </c>
      <c r="G201" s="22" t="s">
        <v>3</v>
      </c>
    </row>
    <row r="202" spans="1:45">
      <c r="B202" s="41"/>
      <c r="E202" s="17"/>
      <c r="G202" s="10">
        <v>1</v>
      </c>
      <c r="H202" s="10" t="s">
        <v>138</v>
      </c>
      <c r="I202" s="10" t="s">
        <v>139</v>
      </c>
      <c r="J202" s="10" t="s">
        <v>147</v>
      </c>
    </row>
    <row r="203" spans="1:45">
      <c r="B203" s="41"/>
      <c r="E203" s="17"/>
      <c r="G203" s="10">
        <v>2</v>
      </c>
      <c r="H203" s="10" t="s">
        <v>143</v>
      </c>
      <c r="I203" s="10" t="s">
        <v>144</v>
      </c>
      <c r="J203" s="10" t="s">
        <v>145</v>
      </c>
    </row>
    <row r="204" spans="1:45">
      <c r="B204" s="41"/>
      <c r="E204" s="17"/>
      <c r="G204" s="10">
        <v>3</v>
      </c>
      <c r="H204" s="10" t="s">
        <v>148</v>
      </c>
      <c r="I204" s="10" t="s">
        <v>149</v>
      </c>
      <c r="J204" s="10" t="s">
        <v>150</v>
      </c>
    </row>
    <row r="205" spans="1:45">
      <c r="B205" s="41"/>
      <c r="E205" s="17"/>
      <c r="G205" s="10">
        <v>4</v>
      </c>
      <c r="H205" s="10" t="s">
        <v>140</v>
      </c>
      <c r="I205" s="10" t="s">
        <v>141</v>
      </c>
      <c r="J205" s="10" t="s">
        <v>142</v>
      </c>
    </row>
    <row r="206" spans="1:45">
      <c r="B206" s="41"/>
      <c r="E206" s="17"/>
      <c r="G206" s="10">
        <v>5</v>
      </c>
      <c r="H206" s="10" t="s">
        <v>133</v>
      </c>
      <c r="I206" s="10" t="s">
        <v>134</v>
      </c>
      <c r="J206" s="10" t="s">
        <v>146</v>
      </c>
    </row>
    <row r="207" spans="1:45">
      <c r="A207" s="9"/>
      <c r="B207" s="8"/>
      <c r="C207" s="24"/>
      <c r="D207" s="9"/>
      <c r="E207" s="21"/>
      <c r="F207" s="23"/>
      <c r="G207" s="9">
        <v>6</v>
      </c>
      <c r="H207" s="9" t="s">
        <v>135</v>
      </c>
      <c r="I207" s="9" t="s">
        <v>136</v>
      </c>
      <c r="J207" s="9" t="s">
        <v>137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</row>
  </sheetData>
  <sortState ref="G183:J209">
    <sortCondition ref="H183:H20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GWAS results 2016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McClure</dc:creator>
  <cp:lastModifiedBy>Sean Myles</cp:lastModifiedBy>
  <dcterms:created xsi:type="dcterms:W3CDTF">2018-05-15T11:52:39Z</dcterms:created>
  <dcterms:modified xsi:type="dcterms:W3CDTF">2019-01-30T13:48:36Z</dcterms:modified>
</cp:coreProperties>
</file>